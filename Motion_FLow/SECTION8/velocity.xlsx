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mwhr268\Desktop\Motion_FLow\SECTION8\"/>
    </mc:Choice>
  </mc:AlternateContent>
  <xr:revisionPtr revIDLastSave="0" documentId="13_ncr:1_{17E557CB-0721-4553-9E4E-3AF5B3E9764F}" xr6:coauthVersionLast="36" xr6:coauthVersionMax="36" xr10:uidLastSave="{00000000-0000-0000-0000-000000000000}"/>
  <bookViews>
    <workbookView xWindow="-120" yWindow="-120" windowWidth="29040" windowHeight="15720" xr2:uid="{00000000-000D-0000-FFFF-FFFF00000000}"/>
  </bookViews>
  <sheets>
    <sheet name="velocity" sheetId="1" r:id="rId1"/>
  </sheets>
  <calcPr calcId="191029"/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C4" i="1"/>
  <c r="D4" i="1" s="1"/>
  <c r="C5" i="1"/>
  <c r="D5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D35" i="1" s="1"/>
  <c r="C36" i="1"/>
  <c r="D36" i="1" s="1"/>
  <c r="C37" i="1"/>
  <c r="D37" i="1" s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D67" i="1" s="1"/>
  <c r="C68" i="1"/>
  <c r="D68" i="1" s="1"/>
  <c r="C69" i="1"/>
  <c r="D69" i="1" s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D99" i="1" s="1"/>
  <c r="C100" i="1"/>
  <c r="D100" i="1" s="1"/>
  <c r="C101" i="1"/>
  <c r="D101" i="1" s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3" i="1"/>
  <c r="D3" i="1" s="1"/>
</calcChain>
</file>

<file path=xl/sharedStrings.xml><?xml version="1.0" encoding="utf-8"?>
<sst xmlns="http://schemas.openxmlformats.org/spreadsheetml/2006/main" count="6" uniqueCount="6">
  <si>
    <t>時間 (sec)</t>
  </si>
  <si>
    <t>速度1 (meter/sec)</t>
  </si>
  <si>
    <t>角度</t>
    <rPh sb="0" eb="2">
      <t>カクド</t>
    </rPh>
    <phoneticPr fontId="18"/>
  </si>
  <si>
    <t>速度</t>
    <rPh sb="0" eb="2">
      <t>ソクド</t>
    </rPh>
    <phoneticPr fontId="18"/>
  </si>
  <si>
    <t>solidworks</t>
    <phoneticPr fontId="18"/>
  </si>
  <si>
    <t>理論値</t>
    <rPh sb="0" eb="3">
      <t>リロンチ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</si>
</sst>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図</a:t>
            </a:r>
            <a:r>
              <a:rPr lang="en-US" altLang="ja-JP"/>
              <a:t>8.38</a:t>
            </a:r>
            <a:r>
              <a:rPr lang="en-US" altLang="ja-JP" baseline="0"/>
              <a:t> </a:t>
            </a:r>
            <a:r>
              <a:rPr lang="ja-JP" altLang="en-US" baseline="0"/>
              <a:t>関節</a:t>
            </a:r>
            <a:r>
              <a:rPr lang="en-US" altLang="ja-JP" baseline="0"/>
              <a:t>3</a:t>
            </a:r>
            <a:r>
              <a:rPr lang="ja-JP" altLang="en-US" baseline="0"/>
              <a:t>の速度の時間変化</a:t>
            </a:r>
            <a:endParaRPr lang="ja-JP" altLang="en-US"/>
          </a:p>
        </c:rich>
      </c:tx>
      <c:layout>
        <c:manualLayout>
          <c:xMode val="edge"/>
          <c:yMode val="edge"/>
          <c:x val="0.24294444444444441"/>
          <c:y val="0.833333333333333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21744225721784777"/>
          <c:y val="8.069444444444443E-2"/>
          <c:w val="0.58577996500437446"/>
          <c:h val="0.65666666666666662"/>
        </c:manualLayout>
      </c:layout>
      <c:scatterChart>
        <c:scatterStyle val="lineMarker"/>
        <c:varyColors val="0"/>
        <c:ser>
          <c:idx val="0"/>
          <c:order val="0"/>
          <c:tx>
            <c:strRef>
              <c:f>velocity!$B$1</c:f>
              <c:strCache>
                <c:ptCount val="1"/>
                <c:pt idx="0">
                  <c:v>solidworks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velocity!$A$3:$A$128</c:f>
              <c:numCache>
                <c:formatCode>General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</c:numCache>
            </c:numRef>
          </c:xVal>
          <c:yVal>
            <c:numRef>
              <c:f>velocity!$B$3:$B$128</c:f>
              <c:numCache>
                <c:formatCode>General</c:formatCode>
                <c:ptCount val="126"/>
                <c:pt idx="0" formatCode="0.00E+00">
                  <c:v>-8.1231537091189806E-17</c:v>
                </c:pt>
                <c:pt idx="1">
                  <c:v>-0.55864741833376097</c:v>
                </c:pt>
                <c:pt idx="2">
                  <c:v>-0.95754350328826598</c:v>
                </c:pt>
                <c:pt idx="3">
                  <c:v>-1.10403596357905</c:v>
                </c:pt>
                <c:pt idx="4">
                  <c:v>-1.00275746244298</c:v>
                </c:pt>
                <c:pt idx="5">
                  <c:v>-0.74905592187632497</c:v>
                </c:pt>
                <c:pt idx="6">
                  <c:v>-0.44627599791460498</c:v>
                </c:pt>
                <c:pt idx="7">
                  <c:v>-0.14657220210994601</c:v>
                </c:pt>
                <c:pt idx="8">
                  <c:v>0.146566609860281</c:v>
                </c:pt>
                <c:pt idx="9">
                  <c:v>0.446284281703622</c:v>
                </c:pt>
                <c:pt idx="10">
                  <c:v>0.74908092745979804</c:v>
                </c:pt>
                <c:pt idx="11">
                  <c:v>1.00302674976253</c:v>
                </c:pt>
                <c:pt idx="12">
                  <c:v>1.1040576692503601</c:v>
                </c:pt>
                <c:pt idx="13">
                  <c:v>0.95728514903427897</c:v>
                </c:pt>
                <c:pt idx="14">
                  <c:v>0.55677948357529194</c:v>
                </c:pt>
                <c:pt idx="15" formatCode="0.00E+00">
                  <c:v>-1.90338917652559E-5</c:v>
                </c:pt>
                <c:pt idx="16">
                  <c:v>-0.55681884955598004</c:v>
                </c:pt>
                <c:pt idx="17">
                  <c:v>-0.957306661880448</c:v>
                </c:pt>
                <c:pt idx="18">
                  <c:v>-1.10401722287172</c:v>
                </c:pt>
                <c:pt idx="19">
                  <c:v>-1.00295875724788</c:v>
                </c:pt>
                <c:pt idx="20">
                  <c:v>-0.749066328055911</c:v>
                </c:pt>
                <c:pt idx="21">
                  <c:v>-0.44630573087535302</c:v>
                </c:pt>
                <c:pt idx="22">
                  <c:v>-0.146588286267545</c:v>
                </c:pt>
                <c:pt idx="23">
                  <c:v>0.14656660986028699</c:v>
                </c:pt>
                <c:pt idx="24">
                  <c:v>0.44628428170366902</c:v>
                </c:pt>
                <c:pt idx="25">
                  <c:v>0.74908092745992705</c:v>
                </c:pt>
                <c:pt idx="26">
                  <c:v>1.0030267497624601</c:v>
                </c:pt>
                <c:pt idx="27">
                  <c:v>1.1040576692503401</c:v>
                </c:pt>
                <c:pt idx="28">
                  <c:v>0.95728514903435502</c:v>
                </c:pt>
                <c:pt idx="29">
                  <c:v>0.55677948357555795</c:v>
                </c:pt>
                <c:pt idx="30" formatCode="0.00E+00">
                  <c:v>-1.9033891783299799E-5</c:v>
                </c:pt>
                <c:pt idx="31">
                  <c:v>-0.55681884955593497</c:v>
                </c:pt>
                <c:pt idx="32">
                  <c:v>-0.95730666188093005</c:v>
                </c:pt>
                <c:pt idx="33">
                  <c:v>-1.10401722287138</c:v>
                </c:pt>
                <c:pt idx="34">
                  <c:v>-1.0029587572479099</c:v>
                </c:pt>
                <c:pt idx="35">
                  <c:v>-0.74906632805562701</c:v>
                </c:pt>
                <c:pt idx="36">
                  <c:v>-0.44630573087534903</c:v>
                </c:pt>
                <c:pt idx="37">
                  <c:v>-0.14658828626741299</c:v>
                </c:pt>
                <c:pt idx="38">
                  <c:v>0.146566609860315</c:v>
                </c:pt>
                <c:pt idx="39">
                  <c:v>0.44628428170355999</c:v>
                </c:pt>
                <c:pt idx="40">
                  <c:v>0.74908092745980304</c:v>
                </c:pt>
                <c:pt idx="41">
                  <c:v>1.00302674976262</c:v>
                </c:pt>
                <c:pt idx="42">
                  <c:v>1.1040576692503401</c:v>
                </c:pt>
                <c:pt idx="43">
                  <c:v>0.95728514903434703</c:v>
                </c:pt>
                <c:pt idx="44">
                  <c:v>0.55677948357532503</c:v>
                </c:pt>
                <c:pt idx="45" formatCode="0.00E+00">
                  <c:v>-1.90338917624369E-5</c:v>
                </c:pt>
                <c:pt idx="46">
                  <c:v>-0.55681884955595196</c:v>
                </c:pt>
                <c:pt idx="47">
                  <c:v>-0.95730666188072999</c:v>
                </c:pt>
                <c:pt idx="48">
                  <c:v>-1.1040172228713101</c:v>
                </c:pt>
                <c:pt idx="49">
                  <c:v>-1.0029587572477701</c:v>
                </c:pt>
                <c:pt idx="50">
                  <c:v>-0.74906632805559104</c:v>
                </c:pt>
                <c:pt idx="51">
                  <c:v>-0.44630573087547898</c:v>
                </c:pt>
                <c:pt idx="52">
                  <c:v>-0.146588286267503</c:v>
                </c:pt>
                <c:pt idx="53">
                  <c:v>0.146566609860286</c:v>
                </c:pt>
                <c:pt idx="54">
                  <c:v>0.44628428170370099</c:v>
                </c:pt>
                <c:pt idx="55">
                  <c:v>0.74908092745992405</c:v>
                </c:pt>
                <c:pt idx="56">
                  <c:v>1.00302674976255</c:v>
                </c:pt>
                <c:pt idx="57">
                  <c:v>1.1040576692506201</c:v>
                </c:pt>
                <c:pt idx="58">
                  <c:v>0.95728514903448503</c:v>
                </c:pt>
                <c:pt idx="59">
                  <c:v>0.55677948357540497</c:v>
                </c:pt>
                <c:pt idx="60" formatCode="0.00E+00">
                  <c:v>-1.9033891748528199E-5</c:v>
                </c:pt>
                <c:pt idx="61">
                  <c:v>-0.55681884955592797</c:v>
                </c:pt>
                <c:pt idx="62">
                  <c:v>-0.95730666188060898</c:v>
                </c:pt>
                <c:pt idx="63">
                  <c:v>-1.10401722287168</c:v>
                </c:pt>
                <c:pt idx="64">
                  <c:v>-1.00295875724808</c:v>
                </c:pt>
                <c:pt idx="65">
                  <c:v>-0.74906632805579498</c:v>
                </c:pt>
                <c:pt idx="66">
                  <c:v>-0.44630573087536901</c:v>
                </c:pt>
                <c:pt idx="67">
                  <c:v>-0.14658828626752801</c:v>
                </c:pt>
                <c:pt idx="68">
                  <c:v>0.14656660986031</c:v>
                </c:pt>
                <c:pt idx="69">
                  <c:v>0.44628428170370299</c:v>
                </c:pt>
                <c:pt idx="70">
                  <c:v>0.74908092745991495</c:v>
                </c:pt>
                <c:pt idx="71">
                  <c:v>1.00302674976259</c:v>
                </c:pt>
                <c:pt idx="72">
                  <c:v>1.10405766925021</c:v>
                </c:pt>
                <c:pt idx="73">
                  <c:v>0.95728514903450601</c:v>
                </c:pt>
                <c:pt idx="74">
                  <c:v>0.55677948357540596</c:v>
                </c:pt>
                <c:pt idx="75" formatCode="0.00E+00">
                  <c:v>-1.9033891718761699E-5</c:v>
                </c:pt>
                <c:pt idx="76">
                  <c:v>-0.55681884955598504</c:v>
                </c:pt>
                <c:pt idx="77">
                  <c:v>-0.95730666188100899</c:v>
                </c:pt>
                <c:pt idx="78">
                  <c:v>-1.1040172228717899</c:v>
                </c:pt>
                <c:pt idx="79">
                  <c:v>-1.00295875724817</c:v>
                </c:pt>
                <c:pt idx="80">
                  <c:v>-0.74906632805579798</c:v>
                </c:pt>
                <c:pt idx="81">
                  <c:v>-0.44630573087549302</c:v>
                </c:pt>
                <c:pt idx="82">
                  <c:v>-0.146588286267433</c:v>
                </c:pt>
                <c:pt idx="83">
                  <c:v>0.14656660986030301</c:v>
                </c:pt>
                <c:pt idx="84">
                  <c:v>0.44628428170372603</c:v>
                </c:pt>
                <c:pt idx="85">
                  <c:v>0.74908092745989996</c:v>
                </c:pt>
                <c:pt idx="86">
                  <c:v>1.0030267497628</c:v>
                </c:pt>
                <c:pt idx="87">
                  <c:v>1.10405766925043</c:v>
                </c:pt>
                <c:pt idx="88">
                  <c:v>0.957285149034245</c:v>
                </c:pt>
                <c:pt idx="89">
                  <c:v>0.55677948357548801</c:v>
                </c:pt>
                <c:pt idx="90" formatCode="0.00E+00">
                  <c:v>-1.9033891694269101E-5</c:v>
                </c:pt>
                <c:pt idx="91">
                  <c:v>-0.556818849556037</c:v>
                </c:pt>
                <c:pt idx="92">
                  <c:v>-0.95730666188052405</c:v>
                </c:pt>
                <c:pt idx="93">
                  <c:v>-1.1040172228718199</c:v>
                </c:pt>
                <c:pt idx="94">
                  <c:v>-1.0029587572481899</c:v>
                </c:pt>
                <c:pt idx="95">
                  <c:v>-0.74906632805578899</c:v>
                </c:pt>
                <c:pt idx="96">
                  <c:v>-0.44630573087551101</c:v>
                </c:pt>
                <c:pt idx="97">
                  <c:v>-0.146588286267504</c:v>
                </c:pt>
                <c:pt idx="98">
                  <c:v>0.14656660986028999</c:v>
                </c:pt>
                <c:pt idx="99">
                  <c:v>0.44628428170377799</c:v>
                </c:pt>
                <c:pt idx="100">
                  <c:v>0.74908092745989596</c:v>
                </c:pt>
                <c:pt idx="101">
                  <c:v>1.00302674976281</c:v>
                </c:pt>
                <c:pt idx="102">
                  <c:v>1.1040576692507</c:v>
                </c:pt>
                <c:pt idx="103">
                  <c:v>0.95728514903461503</c:v>
                </c:pt>
                <c:pt idx="104">
                  <c:v>0.55677948357514195</c:v>
                </c:pt>
                <c:pt idx="105" formatCode="0.00E+00">
                  <c:v>-1.90338917286983E-5</c:v>
                </c:pt>
                <c:pt idx="106">
                  <c:v>-0.55681884955592797</c:v>
                </c:pt>
                <c:pt idx="107">
                  <c:v>-0.95730666188075997</c:v>
                </c:pt>
                <c:pt idx="108">
                  <c:v>-1.1040172228717899</c:v>
                </c:pt>
                <c:pt idx="109">
                  <c:v>-1.0029587572480201</c:v>
                </c:pt>
                <c:pt idx="110">
                  <c:v>-0.74906632805588802</c:v>
                </c:pt>
                <c:pt idx="111">
                  <c:v>-0.44630573087534298</c:v>
                </c:pt>
                <c:pt idx="112">
                  <c:v>-0.146588286267549</c:v>
                </c:pt>
                <c:pt idx="113">
                  <c:v>0.14656660986029699</c:v>
                </c:pt>
                <c:pt idx="114">
                  <c:v>0.44628428170367601</c:v>
                </c:pt>
                <c:pt idx="115">
                  <c:v>0.74908092745985799</c:v>
                </c:pt>
                <c:pt idx="116">
                  <c:v>1.0030267497623899</c:v>
                </c:pt>
                <c:pt idx="117">
                  <c:v>1.1040576692506301</c:v>
                </c:pt>
                <c:pt idx="118">
                  <c:v>0.95728514903412398</c:v>
                </c:pt>
                <c:pt idx="119">
                  <c:v>0.55677948357555396</c:v>
                </c:pt>
                <c:pt idx="120" formatCode="0.00E+00">
                  <c:v>-1.9033891831597699E-5</c:v>
                </c:pt>
                <c:pt idx="121">
                  <c:v>-0.55681884955611005</c:v>
                </c:pt>
                <c:pt idx="122">
                  <c:v>-0.95730666188077895</c:v>
                </c:pt>
                <c:pt idx="123">
                  <c:v>-1.1040172228717999</c:v>
                </c:pt>
                <c:pt idx="124">
                  <c:v>-1.0029587572476399</c:v>
                </c:pt>
                <c:pt idx="125">
                  <c:v>-0.74906632805534501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77-4F1E-84CB-923F75E2A4A1}"/>
            </c:ext>
          </c:extLst>
        </c:ser>
        <c:ser>
          <c:idx val="1"/>
          <c:order val="1"/>
          <c:tx>
            <c:strRef>
              <c:f>velocity!$D$1</c:f>
              <c:strCache>
                <c:ptCount val="1"/>
                <c:pt idx="0">
                  <c:v>理論値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velocity!$A$3:$A$128</c:f>
              <c:numCache>
                <c:formatCode>General</c:formatCode>
                <c:ptCount val="126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</c:numCache>
            </c:numRef>
          </c:xVal>
          <c:yVal>
            <c:numRef>
              <c:f>velocity!$D$3:$D$128</c:f>
              <c:numCache>
                <c:formatCode>General</c:formatCode>
                <c:ptCount val="126"/>
                <c:pt idx="0">
                  <c:v>0</c:v>
                </c:pt>
                <c:pt idx="1">
                  <c:v>-0.55563685684829434</c:v>
                </c:pt>
                <c:pt idx="2">
                  <c:v>-0.9517962569978593</c:v>
                </c:pt>
                <c:pt idx="3">
                  <c:v>-1.098531934385544</c:v>
                </c:pt>
                <c:pt idx="4">
                  <c:v>-1.0051734578594711</c:v>
                </c:pt>
                <c:pt idx="5">
                  <c:v>-0.75574973509759047</c:v>
                </c:pt>
                <c:pt idx="6">
                  <c:v>-0.44953660101117693</c:v>
                </c:pt>
                <c:pt idx="7">
                  <c:v>-0.14673567738768428</c:v>
                </c:pt>
                <c:pt idx="8">
                  <c:v>0.14673567738768473</c:v>
                </c:pt>
                <c:pt idx="9">
                  <c:v>0.44953660101117676</c:v>
                </c:pt>
                <c:pt idx="10">
                  <c:v>0.75574973509759091</c:v>
                </c:pt>
                <c:pt idx="11">
                  <c:v>1.0051734578594711</c:v>
                </c:pt>
                <c:pt idx="12">
                  <c:v>1.098531934385544</c:v>
                </c:pt>
                <c:pt idx="13">
                  <c:v>0.95179625699785908</c:v>
                </c:pt>
                <c:pt idx="14">
                  <c:v>0.55563685684829311</c:v>
                </c:pt>
                <c:pt idx="15">
                  <c:v>3.4212598982202724E-16</c:v>
                </c:pt>
                <c:pt idx="16">
                  <c:v>-0.55563685684829467</c:v>
                </c:pt>
                <c:pt idx="17">
                  <c:v>-0.95179625699785986</c:v>
                </c:pt>
                <c:pt idx="18">
                  <c:v>-1.098531934385544</c:v>
                </c:pt>
                <c:pt idx="19">
                  <c:v>-1.0051734578594711</c:v>
                </c:pt>
                <c:pt idx="20">
                  <c:v>-0.75574973509759014</c:v>
                </c:pt>
                <c:pt idx="21">
                  <c:v>-0.44953660101117698</c:v>
                </c:pt>
                <c:pt idx="22">
                  <c:v>-0.14673567738768445</c:v>
                </c:pt>
                <c:pt idx="23">
                  <c:v>0.14673567738768517</c:v>
                </c:pt>
                <c:pt idx="24">
                  <c:v>0.44953660101117654</c:v>
                </c:pt>
                <c:pt idx="25">
                  <c:v>0.7557497350975908</c:v>
                </c:pt>
                <c:pt idx="26">
                  <c:v>1.0051734578594713</c:v>
                </c:pt>
                <c:pt idx="27">
                  <c:v>1.098531934385544</c:v>
                </c:pt>
                <c:pt idx="28">
                  <c:v>0.95179625699785797</c:v>
                </c:pt>
                <c:pt idx="29">
                  <c:v>0.55563685684829556</c:v>
                </c:pt>
                <c:pt idx="30">
                  <c:v>6.8425197964405449E-16</c:v>
                </c:pt>
                <c:pt idx="31">
                  <c:v>-0.55563685684829434</c:v>
                </c:pt>
                <c:pt idx="32">
                  <c:v>-0.95179625699785975</c:v>
                </c:pt>
                <c:pt idx="33">
                  <c:v>-1.098531934385544</c:v>
                </c:pt>
                <c:pt idx="34">
                  <c:v>-1.0051734578594702</c:v>
                </c:pt>
                <c:pt idx="35">
                  <c:v>-0.75574973509759147</c:v>
                </c:pt>
                <c:pt idx="36">
                  <c:v>-0.44953660101117721</c:v>
                </c:pt>
                <c:pt idx="37">
                  <c:v>-0.14673567738768462</c:v>
                </c:pt>
                <c:pt idx="38">
                  <c:v>0.146735677387685</c:v>
                </c:pt>
                <c:pt idx="39">
                  <c:v>0.44953660101117632</c:v>
                </c:pt>
                <c:pt idx="40">
                  <c:v>0.7557497350975918</c:v>
                </c:pt>
                <c:pt idx="41">
                  <c:v>1.0051734578594713</c:v>
                </c:pt>
                <c:pt idx="42">
                  <c:v>1.098531934385544</c:v>
                </c:pt>
                <c:pt idx="43">
                  <c:v>0.95179625699785819</c:v>
                </c:pt>
                <c:pt idx="44">
                  <c:v>0.55563685684829367</c:v>
                </c:pt>
                <c:pt idx="45">
                  <c:v>1.0263779694660817E-15</c:v>
                </c:pt>
                <c:pt idx="46">
                  <c:v>-0.55563685684829622</c:v>
                </c:pt>
                <c:pt idx="47">
                  <c:v>-0.95179625699785952</c:v>
                </c:pt>
                <c:pt idx="48">
                  <c:v>-1.098531934385544</c:v>
                </c:pt>
                <c:pt idx="49">
                  <c:v>-1.0051734578594704</c:v>
                </c:pt>
                <c:pt idx="50">
                  <c:v>-0.75574973509759047</c:v>
                </c:pt>
                <c:pt idx="51">
                  <c:v>-0.44953660101117743</c:v>
                </c:pt>
                <c:pt idx="52">
                  <c:v>-0.14673567738768351</c:v>
                </c:pt>
                <c:pt idx="53">
                  <c:v>0.14673567738768484</c:v>
                </c:pt>
                <c:pt idx="54">
                  <c:v>0.44953660101117876</c:v>
                </c:pt>
                <c:pt idx="55">
                  <c:v>0.75574973509759169</c:v>
                </c:pt>
                <c:pt idx="56">
                  <c:v>1.0051734578594729</c:v>
                </c:pt>
                <c:pt idx="57">
                  <c:v>1.098531934385544</c:v>
                </c:pt>
                <c:pt idx="58">
                  <c:v>0.95179625699786086</c:v>
                </c:pt>
                <c:pt idx="59">
                  <c:v>0.55563685684829389</c:v>
                </c:pt>
                <c:pt idx="60">
                  <c:v>1.368503959288109E-15</c:v>
                </c:pt>
                <c:pt idx="61">
                  <c:v>-0.55563685684829589</c:v>
                </c:pt>
                <c:pt idx="62">
                  <c:v>-0.95179625699785941</c:v>
                </c:pt>
                <c:pt idx="63">
                  <c:v>-1.098531934385544</c:v>
                </c:pt>
                <c:pt idx="64">
                  <c:v>-1.0051734578594704</c:v>
                </c:pt>
                <c:pt idx="65">
                  <c:v>-0.75574973509759058</c:v>
                </c:pt>
                <c:pt idx="66">
                  <c:v>-0.44953660101117499</c:v>
                </c:pt>
                <c:pt idx="67">
                  <c:v>-0.1467356773876837</c:v>
                </c:pt>
                <c:pt idx="68">
                  <c:v>0.14673567738768717</c:v>
                </c:pt>
                <c:pt idx="69">
                  <c:v>0.4495366010111761</c:v>
                </c:pt>
                <c:pt idx="70">
                  <c:v>0.75574973509758903</c:v>
                </c:pt>
                <c:pt idx="71">
                  <c:v>1.0051734578594711</c:v>
                </c:pt>
                <c:pt idx="72">
                  <c:v>1.098531934385544</c:v>
                </c:pt>
                <c:pt idx="73">
                  <c:v>0.95179625699785864</c:v>
                </c:pt>
                <c:pt idx="74">
                  <c:v>0.55563685684829434</c:v>
                </c:pt>
                <c:pt idx="75">
                  <c:v>1.7106299491101363E-15</c:v>
                </c:pt>
                <c:pt idx="76">
                  <c:v>-0.55563685684829567</c:v>
                </c:pt>
                <c:pt idx="77">
                  <c:v>-0.95179625699786163</c:v>
                </c:pt>
                <c:pt idx="78">
                  <c:v>-1.098531934385544</c:v>
                </c:pt>
                <c:pt idx="79">
                  <c:v>-1.0051734578594704</c:v>
                </c:pt>
                <c:pt idx="80">
                  <c:v>-0.75574973509758825</c:v>
                </c:pt>
                <c:pt idx="81">
                  <c:v>-0.44953660101117254</c:v>
                </c:pt>
                <c:pt idx="82">
                  <c:v>-0.14673567738768389</c:v>
                </c:pt>
                <c:pt idx="83">
                  <c:v>0.14673567738768198</c:v>
                </c:pt>
                <c:pt idx="84">
                  <c:v>0.44953660101117587</c:v>
                </c:pt>
                <c:pt idx="85">
                  <c:v>0.75574973509759136</c:v>
                </c:pt>
                <c:pt idx="86">
                  <c:v>1.0051734578594727</c:v>
                </c:pt>
                <c:pt idx="87">
                  <c:v>1.098531934385544</c:v>
                </c:pt>
                <c:pt idx="88">
                  <c:v>0.95179625699785864</c:v>
                </c:pt>
                <c:pt idx="89">
                  <c:v>0.55563685684829034</c:v>
                </c:pt>
                <c:pt idx="90">
                  <c:v>2.0527559389321634E-15</c:v>
                </c:pt>
                <c:pt idx="91">
                  <c:v>-0.55563685684829534</c:v>
                </c:pt>
                <c:pt idx="92">
                  <c:v>-0.95179625699786141</c:v>
                </c:pt>
                <c:pt idx="93">
                  <c:v>-1.0985319343855442</c:v>
                </c:pt>
                <c:pt idx="94">
                  <c:v>-1.0051734578594709</c:v>
                </c:pt>
                <c:pt idx="95">
                  <c:v>-0.75574973509759347</c:v>
                </c:pt>
                <c:pt idx="96">
                  <c:v>-0.44953660101117798</c:v>
                </c:pt>
                <c:pt idx="97">
                  <c:v>-0.14673567738768406</c:v>
                </c:pt>
                <c:pt idx="98">
                  <c:v>0.14673567738768684</c:v>
                </c:pt>
                <c:pt idx="99">
                  <c:v>0.44953660101117565</c:v>
                </c:pt>
                <c:pt idx="100">
                  <c:v>0.75574973509759125</c:v>
                </c:pt>
                <c:pt idx="101">
                  <c:v>1.0051734578594724</c:v>
                </c:pt>
                <c:pt idx="102">
                  <c:v>1.098531934385544</c:v>
                </c:pt>
                <c:pt idx="103">
                  <c:v>0.95179625699785886</c:v>
                </c:pt>
                <c:pt idx="104">
                  <c:v>0.55563685684829056</c:v>
                </c:pt>
                <c:pt idx="105">
                  <c:v>-7.5261662433592502E-15</c:v>
                </c:pt>
                <c:pt idx="106">
                  <c:v>-0.555636856848295</c:v>
                </c:pt>
                <c:pt idx="107">
                  <c:v>-0.9517962569978613</c:v>
                </c:pt>
                <c:pt idx="108">
                  <c:v>-1.0985319343855442</c:v>
                </c:pt>
                <c:pt idx="109">
                  <c:v>-1.0051734578594675</c:v>
                </c:pt>
                <c:pt idx="110">
                  <c:v>-0.75574973509758858</c:v>
                </c:pt>
                <c:pt idx="111">
                  <c:v>-0.44953660101117288</c:v>
                </c:pt>
                <c:pt idx="112">
                  <c:v>-0.1467356773876792</c:v>
                </c:pt>
                <c:pt idx="113">
                  <c:v>0.14673567738768165</c:v>
                </c:pt>
                <c:pt idx="114">
                  <c:v>0.44953660101117537</c:v>
                </c:pt>
                <c:pt idx="115">
                  <c:v>0.75574973509759102</c:v>
                </c:pt>
                <c:pt idx="116">
                  <c:v>1.0051734578594693</c:v>
                </c:pt>
                <c:pt idx="117">
                  <c:v>1.098531934385544</c:v>
                </c:pt>
                <c:pt idx="118">
                  <c:v>0.95179625699785908</c:v>
                </c:pt>
                <c:pt idx="119">
                  <c:v>0.55563685684829944</c:v>
                </c:pt>
                <c:pt idx="120">
                  <c:v>2.7370079185762179E-15</c:v>
                </c:pt>
                <c:pt idx="121">
                  <c:v>-0.55563685684829478</c:v>
                </c:pt>
                <c:pt idx="122">
                  <c:v>-0.95179625699786108</c:v>
                </c:pt>
                <c:pt idx="123">
                  <c:v>-1.098531934385544</c:v>
                </c:pt>
                <c:pt idx="124">
                  <c:v>-1.0051734578594711</c:v>
                </c:pt>
                <c:pt idx="125">
                  <c:v>-0.75574973509758869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677-4F1E-84CB-923F75E2A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7697231"/>
        <c:axId val="967697647"/>
      </c:scatterChart>
      <c:valAx>
        <c:axId val="96769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</a:t>
                </a:r>
                <a:r>
                  <a:rPr lang="en-US" altLang="ja-JP"/>
                  <a:t>(s)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697647"/>
        <c:crosses val="autoZero"/>
        <c:crossBetween val="midCat"/>
      </c:valAx>
      <c:valAx>
        <c:axId val="96769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速度 </a:t>
                </a:r>
                <a:r>
                  <a:rPr lang="en-US" altLang="ja-JP"/>
                  <a:t>(m/s)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769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442911</xdr:colOff>
      <xdr:row>3</xdr:row>
      <xdr:rowOff>133350</xdr:rowOff>
    </xdr:from>
    <xdr:to>
      <xdr:col>16</xdr:col>
      <xdr:colOff>276224</xdr:colOff>
      <xdr:row>20</xdr:row>
      <xdr:rowOff>14287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CB403F9-3AAA-4736-B77C-C9E001EE63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8"/>
  <sheetViews>
    <sheetView tabSelected="1" workbookViewId="0">
      <selection activeCell="R10" sqref="R10"/>
    </sheetView>
  </sheetViews>
  <sheetFormatPr defaultRowHeight="18.75" x14ac:dyDescent="0.4"/>
  <sheetData>
    <row r="1" spans="1:4" x14ac:dyDescent="0.4">
      <c r="B1" t="s">
        <v>4</v>
      </c>
      <c r="D1" t="s">
        <v>5</v>
      </c>
    </row>
    <row r="2" spans="1:4" x14ac:dyDescent="0.4">
      <c r="A2" t="s">
        <v>0</v>
      </c>
      <c r="B2" t="s">
        <v>1</v>
      </c>
      <c r="C2" t="s">
        <v>2</v>
      </c>
      <c r="D2" t="s">
        <v>3</v>
      </c>
    </row>
    <row r="3" spans="1:4" x14ac:dyDescent="0.4">
      <c r="A3">
        <v>0</v>
      </c>
      <c r="B3" s="1">
        <v>-8.1231537091189806E-17</v>
      </c>
      <c r="C3">
        <f>100/60*2*PI()*A3</f>
        <v>0</v>
      </c>
      <c r="D3">
        <f>-0.1*100/60*2*PI()*SIN(C3)-0.3*100/60*2*PI()*(0.1/0.3)^2*SIN(2*C3)/2</f>
        <v>0</v>
      </c>
    </row>
    <row r="4" spans="1:4" x14ac:dyDescent="0.4">
      <c r="A4">
        <v>0.04</v>
      </c>
      <c r="B4">
        <v>-0.55864741833376097</v>
      </c>
      <c r="C4">
        <f t="shared" ref="C4:C67" si="0">100/60*2*PI()*A4</f>
        <v>0.41887902047863912</v>
      </c>
      <c r="D4">
        <f t="shared" ref="D4:D67" si="1">-0.1*100/60*2*PI()*SIN(C4)-0.3*100/60*2*PI()*(0.1/0.3)^2*SIN(2*C4)/2</f>
        <v>-0.55563685684829434</v>
      </c>
    </row>
    <row r="5" spans="1:4" x14ac:dyDescent="0.4">
      <c r="A5">
        <v>0.08</v>
      </c>
      <c r="B5">
        <v>-0.95754350328826598</v>
      </c>
      <c r="C5">
        <f t="shared" si="0"/>
        <v>0.83775804095727824</v>
      </c>
      <c r="D5">
        <f t="shared" si="1"/>
        <v>-0.9517962569978593</v>
      </c>
    </row>
    <row r="6" spans="1:4" x14ac:dyDescent="0.4">
      <c r="A6">
        <v>0.12</v>
      </c>
      <c r="B6">
        <v>-1.10403596357905</v>
      </c>
      <c r="C6">
        <f t="shared" si="0"/>
        <v>1.2566370614359172</v>
      </c>
      <c r="D6">
        <f t="shared" si="1"/>
        <v>-1.098531934385544</v>
      </c>
    </row>
    <row r="7" spans="1:4" x14ac:dyDescent="0.4">
      <c r="A7">
        <v>0.16</v>
      </c>
      <c r="B7">
        <v>-1.00275746244298</v>
      </c>
      <c r="C7">
        <f t="shared" si="0"/>
        <v>1.6755160819145565</v>
      </c>
      <c r="D7">
        <f t="shared" si="1"/>
        <v>-1.0051734578594711</v>
      </c>
    </row>
    <row r="8" spans="1:4" x14ac:dyDescent="0.4">
      <c r="A8">
        <v>0.2</v>
      </c>
      <c r="B8">
        <v>-0.74905592187632497</v>
      </c>
      <c r="C8">
        <f t="shared" si="0"/>
        <v>2.0943951023931957</v>
      </c>
      <c r="D8">
        <f t="shared" si="1"/>
        <v>-0.75574973509759047</v>
      </c>
    </row>
    <row r="9" spans="1:4" x14ac:dyDescent="0.4">
      <c r="A9">
        <v>0.24</v>
      </c>
      <c r="B9">
        <v>-0.44627599791460498</v>
      </c>
      <c r="C9">
        <f t="shared" si="0"/>
        <v>2.5132741228718345</v>
      </c>
      <c r="D9">
        <f t="shared" si="1"/>
        <v>-0.44953660101117693</v>
      </c>
    </row>
    <row r="10" spans="1:4" x14ac:dyDescent="0.4">
      <c r="A10">
        <v>0.28000000000000003</v>
      </c>
      <c r="B10">
        <v>-0.14657220210994601</v>
      </c>
      <c r="C10">
        <f t="shared" si="0"/>
        <v>2.9321531433504742</v>
      </c>
      <c r="D10">
        <f t="shared" si="1"/>
        <v>-0.14673567738768428</v>
      </c>
    </row>
    <row r="11" spans="1:4" x14ac:dyDescent="0.4">
      <c r="A11">
        <v>0.32</v>
      </c>
      <c r="B11">
        <v>0.146566609860281</v>
      </c>
      <c r="C11">
        <f t="shared" si="0"/>
        <v>3.351032163829113</v>
      </c>
      <c r="D11">
        <f t="shared" si="1"/>
        <v>0.14673567738768473</v>
      </c>
    </row>
    <row r="12" spans="1:4" x14ac:dyDescent="0.4">
      <c r="A12">
        <v>0.36</v>
      </c>
      <c r="B12">
        <v>0.446284281703622</v>
      </c>
      <c r="C12">
        <f t="shared" si="0"/>
        <v>3.7699111843077517</v>
      </c>
      <c r="D12">
        <f t="shared" si="1"/>
        <v>0.44953660101117676</v>
      </c>
    </row>
    <row r="13" spans="1:4" x14ac:dyDescent="0.4">
      <c r="A13">
        <v>0.4</v>
      </c>
      <c r="B13">
        <v>0.74908092745979804</v>
      </c>
      <c r="C13">
        <f t="shared" si="0"/>
        <v>4.1887902047863914</v>
      </c>
      <c r="D13">
        <f t="shared" si="1"/>
        <v>0.75574973509759091</v>
      </c>
    </row>
    <row r="14" spans="1:4" x14ac:dyDescent="0.4">
      <c r="A14">
        <v>0.44</v>
      </c>
      <c r="B14">
        <v>1.00302674976253</v>
      </c>
      <c r="C14">
        <f t="shared" si="0"/>
        <v>4.6076692252650302</v>
      </c>
      <c r="D14">
        <f t="shared" si="1"/>
        <v>1.0051734578594711</v>
      </c>
    </row>
    <row r="15" spans="1:4" x14ac:dyDescent="0.4">
      <c r="A15">
        <v>0.48</v>
      </c>
      <c r="B15">
        <v>1.1040576692503601</v>
      </c>
      <c r="C15">
        <f t="shared" si="0"/>
        <v>5.026548245743669</v>
      </c>
      <c r="D15">
        <f t="shared" si="1"/>
        <v>1.098531934385544</v>
      </c>
    </row>
    <row r="16" spans="1:4" x14ac:dyDescent="0.4">
      <c r="A16">
        <v>0.52</v>
      </c>
      <c r="B16">
        <v>0.95728514903427897</v>
      </c>
      <c r="C16">
        <f t="shared" si="0"/>
        <v>5.4454272662223087</v>
      </c>
      <c r="D16">
        <f t="shared" si="1"/>
        <v>0.95179625699785908</v>
      </c>
    </row>
    <row r="17" spans="1:4" x14ac:dyDescent="0.4">
      <c r="A17">
        <v>0.56000000000000005</v>
      </c>
      <c r="B17">
        <v>0.55677948357529194</v>
      </c>
      <c r="C17">
        <f t="shared" si="0"/>
        <v>5.8643062867009483</v>
      </c>
      <c r="D17">
        <f t="shared" si="1"/>
        <v>0.55563685684829311</v>
      </c>
    </row>
    <row r="18" spans="1:4" x14ac:dyDescent="0.4">
      <c r="A18">
        <v>0.6</v>
      </c>
      <c r="B18" s="1">
        <v>-1.90338917652559E-5</v>
      </c>
      <c r="C18">
        <f t="shared" si="0"/>
        <v>6.2831853071795862</v>
      </c>
      <c r="D18">
        <f t="shared" si="1"/>
        <v>3.4212598982202724E-16</v>
      </c>
    </row>
    <row r="19" spans="1:4" x14ac:dyDescent="0.4">
      <c r="A19">
        <v>0.64</v>
      </c>
      <c r="B19">
        <v>-0.55681884955598004</v>
      </c>
      <c r="C19">
        <f t="shared" si="0"/>
        <v>6.7020643276582259</v>
      </c>
      <c r="D19">
        <f t="shared" si="1"/>
        <v>-0.55563685684829467</v>
      </c>
    </row>
    <row r="20" spans="1:4" x14ac:dyDescent="0.4">
      <c r="A20">
        <v>0.68</v>
      </c>
      <c r="B20">
        <v>-0.957306661880448</v>
      </c>
      <c r="C20">
        <f t="shared" si="0"/>
        <v>7.1209433481368656</v>
      </c>
      <c r="D20">
        <f t="shared" si="1"/>
        <v>-0.95179625699785986</v>
      </c>
    </row>
    <row r="21" spans="1:4" x14ac:dyDescent="0.4">
      <c r="A21">
        <v>0.72</v>
      </c>
      <c r="B21">
        <v>-1.10401722287172</v>
      </c>
      <c r="C21">
        <f t="shared" si="0"/>
        <v>7.5398223686155035</v>
      </c>
      <c r="D21">
        <f t="shared" si="1"/>
        <v>-1.098531934385544</v>
      </c>
    </row>
    <row r="22" spans="1:4" x14ac:dyDescent="0.4">
      <c r="A22">
        <v>0.76</v>
      </c>
      <c r="B22">
        <v>-1.00295875724788</v>
      </c>
      <c r="C22">
        <f t="shared" si="0"/>
        <v>7.9587013890941432</v>
      </c>
      <c r="D22">
        <f t="shared" si="1"/>
        <v>-1.0051734578594711</v>
      </c>
    </row>
    <row r="23" spans="1:4" x14ac:dyDescent="0.4">
      <c r="A23">
        <v>0.8</v>
      </c>
      <c r="B23">
        <v>-0.749066328055911</v>
      </c>
      <c r="C23">
        <f t="shared" si="0"/>
        <v>8.3775804095727828</v>
      </c>
      <c r="D23">
        <f t="shared" si="1"/>
        <v>-0.75574973509759014</v>
      </c>
    </row>
    <row r="24" spans="1:4" x14ac:dyDescent="0.4">
      <c r="A24">
        <v>0.84</v>
      </c>
      <c r="B24">
        <v>-0.44630573087535302</v>
      </c>
      <c r="C24">
        <f t="shared" si="0"/>
        <v>8.7964594300514207</v>
      </c>
      <c r="D24">
        <f t="shared" si="1"/>
        <v>-0.44953660101117698</v>
      </c>
    </row>
    <row r="25" spans="1:4" x14ac:dyDescent="0.4">
      <c r="A25">
        <v>0.88</v>
      </c>
      <c r="B25">
        <v>-0.146588286267545</v>
      </c>
      <c r="C25">
        <f t="shared" si="0"/>
        <v>9.2153384505300604</v>
      </c>
      <c r="D25">
        <f t="shared" si="1"/>
        <v>-0.14673567738768445</v>
      </c>
    </row>
    <row r="26" spans="1:4" x14ac:dyDescent="0.4">
      <c r="A26">
        <v>0.92</v>
      </c>
      <c r="B26">
        <v>0.14656660986028699</v>
      </c>
      <c r="C26">
        <f t="shared" si="0"/>
        <v>9.6342174710087001</v>
      </c>
      <c r="D26">
        <f t="shared" si="1"/>
        <v>0.14673567738768517</v>
      </c>
    </row>
    <row r="27" spans="1:4" x14ac:dyDescent="0.4">
      <c r="A27">
        <v>0.96</v>
      </c>
      <c r="B27">
        <v>0.44628428170366902</v>
      </c>
      <c r="C27">
        <f t="shared" si="0"/>
        <v>10.053096491487338</v>
      </c>
      <c r="D27">
        <f t="shared" si="1"/>
        <v>0.44953660101117654</v>
      </c>
    </row>
    <row r="28" spans="1:4" x14ac:dyDescent="0.4">
      <c r="A28">
        <v>1</v>
      </c>
      <c r="B28">
        <v>0.74908092745992705</v>
      </c>
      <c r="C28">
        <f t="shared" si="0"/>
        <v>10.471975511965978</v>
      </c>
      <c r="D28">
        <f t="shared" si="1"/>
        <v>0.7557497350975908</v>
      </c>
    </row>
    <row r="29" spans="1:4" x14ac:dyDescent="0.4">
      <c r="A29">
        <v>1.04</v>
      </c>
      <c r="B29">
        <v>1.0030267497624601</v>
      </c>
      <c r="C29">
        <f t="shared" si="0"/>
        <v>10.890854532444617</v>
      </c>
      <c r="D29">
        <f t="shared" si="1"/>
        <v>1.0051734578594713</v>
      </c>
    </row>
    <row r="30" spans="1:4" x14ac:dyDescent="0.4">
      <c r="A30">
        <v>1.08</v>
      </c>
      <c r="B30">
        <v>1.1040576692503401</v>
      </c>
      <c r="C30">
        <f t="shared" si="0"/>
        <v>11.309733552923257</v>
      </c>
      <c r="D30">
        <f t="shared" si="1"/>
        <v>1.098531934385544</v>
      </c>
    </row>
    <row r="31" spans="1:4" x14ac:dyDescent="0.4">
      <c r="A31">
        <v>1.1200000000000001</v>
      </c>
      <c r="B31">
        <v>0.95728514903435502</v>
      </c>
      <c r="C31">
        <f t="shared" si="0"/>
        <v>11.728612573401897</v>
      </c>
      <c r="D31">
        <f t="shared" si="1"/>
        <v>0.95179625699785797</v>
      </c>
    </row>
    <row r="32" spans="1:4" x14ac:dyDescent="0.4">
      <c r="A32">
        <v>1.1599999999999999</v>
      </c>
      <c r="B32">
        <v>0.55677948357555795</v>
      </c>
      <c r="C32">
        <f t="shared" si="0"/>
        <v>12.147491593880533</v>
      </c>
      <c r="D32">
        <f t="shared" si="1"/>
        <v>0.55563685684829556</v>
      </c>
    </row>
    <row r="33" spans="1:4" x14ac:dyDescent="0.4">
      <c r="A33">
        <v>1.2</v>
      </c>
      <c r="B33" s="1">
        <v>-1.9033891783299799E-5</v>
      </c>
      <c r="C33">
        <f t="shared" si="0"/>
        <v>12.566370614359172</v>
      </c>
      <c r="D33">
        <f t="shared" si="1"/>
        <v>6.8425197964405449E-16</v>
      </c>
    </row>
    <row r="34" spans="1:4" x14ac:dyDescent="0.4">
      <c r="A34">
        <v>1.24</v>
      </c>
      <c r="B34">
        <v>-0.55681884955593497</v>
      </c>
      <c r="C34">
        <f t="shared" si="0"/>
        <v>12.985249634837812</v>
      </c>
      <c r="D34">
        <f t="shared" si="1"/>
        <v>-0.55563685684829434</v>
      </c>
    </row>
    <row r="35" spans="1:4" x14ac:dyDescent="0.4">
      <c r="A35">
        <v>1.28</v>
      </c>
      <c r="B35">
        <v>-0.95730666188093005</v>
      </c>
      <c r="C35">
        <f t="shared" si="0"/>
        <v>13.404128655316452</v>
      </c>
      <c r="D35">
        <f t="shared" si="1"/>
        <v>-0.95179625699785975</v>
      </c>
    </row>
    <row r="36" spans="1:4" x14ac:dyDescent="0.4">
      <c r="A36">
        <v>1.32</v>
      </c>
      <c r="B36">
        <v>-1.10401722287138</v>
      </c>
      <c r="C36">
        <f t="shared" si="0"/>
        <v>13.823007675795091</v>
      </c>
      <c r="D36">
        <f t="shared" si="1"/>
        <v>-1.098531934385544</v>
      </c>
    </row>
    <row r="37" spans="1:4" x14ac:dyDescent="0.4">
      <c r="A37">
        <v>1.36</v>
      </c>
      <c r="B37">
        <v>-1.0029587572479099</v>
      </c>
      <c r="C37">
        <f t="shared" si="0"/>
        <v>14.241886696273731</v>
      </c>
      <c r="D37">
        <f t="shared" si="1"/>
        <v>-1.0051734578594702</v>
      </c>
    </row>
    <row r="38" spans="1:4" x14ac:dyDescent="0.4">
      <c r="A38">
        <v>1.4</v>
      </c>
      <c r="B38">
        <v>-0.74906632805562701</v>
      </c>
      <c r="C38">
        <f t="shared" si="0"/>
        <v>14.660765716752367</v>
      </c>
      <c r="D38">
        <f t="shared" si="1"/>
        <v>-0.75574973509759147</v>
      </c>
    </row>
    <row r="39" spans="1:4" x14ac:dyDescent="0.4">
      <c r="A39">
        <v>1.44</v>
      </c>
      <c r="B39">
        <v>-0.44630573087534903</v>
      </c>
      <c r="C39">
        <f t="shared" si="0"/>
        <v>15.079644737231007</v>
      </c>
      <c r="D39">
        <f t="shared" si="1"/>
        <v>-0.44953660101117721</v>
      </c>
    </row>
    <row r="40" spans="1:4" x14ac:dyDescent="0.4">
      <c r="A40">
        <v>1.48</v>
      </c>
      <c r="B40">
        <v>-0.14658828626741299</v>
      </c>
      <c r="C40">
        <f t="shared" si="0"/>
        <v>15.498523757709647</v>
      </c>
      <c r="D40">
        <f t="shared" si="1"/>
        <v>-0.14673567738768462</v>
      </c>
    </row>
    <row r="41" spans="1:4" x14ac:dyDescent="0.4">
      <c r="A41">
        <v>1.52</v>
      </c>
      <c r="B41">
        <v>0.146566609860315</v>
      </c>
      <c r="C41">
        <f t="shared" si="0"/>
        <v>15.917402778188286</v>
      </c>
      <c r="D41">
        <f t="shared" si="1"/>
        <v>0.146735677387685</v>
      </c>
    </row>
    <row r="42" spans="1:4" x14ac:dyDescent="0.4">
      <c r="A42">
        <v>1.56</v>
      </c>
      <c r="B42">
        <v>0.44628428170355999</v>
      </c>
      <c r="C42">
        <f t="shared" si="0"/>
        <v>16.336281798666924</v>
      </c>
      <c r="D42">
        <f t="shared" si="1"/>
        <v>0.44953660101117632</v>
      </c>
    </row>
    <row r="43" spans="1:4" x14ac:dyDescent="0.4">
      <c r="A43">
        <v>1.6</v>
      </c>
      <c r="B43">
        <v>0.74908092745980304</v>
      </c>
      <c r="C43">
        <f t="shared" si="0"/>
        <v>16.755160819145566</v>
      </c>
      <c r="D43">
        <f t="shared" si="1"/>
        <v>0.7557497350975918</v>
      </c>
    </row>
    <row r="44" spans="1:4" x14ac:dyDescent="0.4">
      <c r="A44">
        <v>1.64</v>
      </c>
      <c r="B44">
        <v>1.00302674976262</v>
      </c>
      <c r="C44">
        <f t="shared" si="0"/>
        <v>17.174039839624204</v>
      </c>
      <c r="D44">
        <f t="shared" si="1"/>
        <v>1.0051734578594713</v>
      </c>
    </row>
    <row r="45" spans="1:4" x14ac:dyDescent="0.4">
      <c r="A45">
        <v>1.68</v>
      </c>
      <c r="B45">
        <v>1.1040576692503401</v>
      </c>
      <c r="C45">
        <f t="shared" si="0"/>
        <v>17.592918860102841</v>
      </c>
      <c r="D45">
        <f t="shared" si="1"/>
        <v>1.098531934385544</v>
      </c>
    </row>
    <row r="46" spans="1:4" x14ac:dyDescent="0.4">
      <c r="A46">
        <v>1.72</v>
      </c>
      <c r="B46">
        <v>0.95728514903434703</v>
      </c>
      <c r="C46">
        <f t="shared" si="0"/>
        <v>18.011797880581483</v>
      </c>
      <c r="D46">
        <f t="shared" si="1"/>
        <v>0.95179625699785819</v>
      </c>
    </row>
    <row r="47" spans="1:4" x14ac:dyDescent="0.4">
      <c r="A47">
        <v>1.76</v>
      </c>
      <c r="B47">
        <v>0.55677948357532503</v>
      </c>
      <c r="C47">
        <f t="shared" si="0"/>
        <v>18.430676901060121</v>
      </c>
      <c r="D47">
        <f t="shared" si="1"/>
        <v>0.55563685684829367</v>
      </c>
    </row>
    <row r="48" spans="1:4" x14ac:dyDescent="0.4">
      <c r="A48">
        <v>1.8</v>
      </c>
      <c r="B48" s="1">
        <v>-1.90338917624369E-5</v>
      </c>
      <c r="C48">
        <f t="shared" si="0"/>
        <v>18.849555921538759</v>
      </c>
      <c r="D48">
        <f t="shared" si="1"/>
        <v>1.0263779694660817E-15</v>
      </c>
    </row>
    <row r="49" spans="1:4" x14ac:dyDescent="0.4">
      <c r="A49">
        <v>1.84</v>
      </c>
      <c r="B49">
        <v>-0.55681884955595196</v>
      </c>
      <c r="C49">
        <f t="shared" si="0"/>
        <v>19.2684349420174</v>
      </c>
      <c r="D49">
        <f t="shared" si="1"/>
        <v>-0.55563685684829622</v>
      </c>
    </row>
    <row r="50" spans="1:4" x14ac:dyDescent="0.4">
      <c r="A50">
        <v>1.88</v>
      </c>
      <c r="B50">
        <v>-0.95730666188072999</v>
      </c>
      <c r="C50">
        <f t="shared" si="0"/>
        <v>19.687313962496038</v>
      </c>
      <c r="D50">
        <f t="shared" si="1"/>
        <v>-0.95179625699785952</v>
      </c>
    </row>
    <row r="51" spans="1:4" x14ac:dyDescent="0.4">
      <c r="A51">
        <v>1.92</v>
      </c>
      <c r="B51">
        <v>-1.1040172228713101</v>
      </c>
      <c r="C51">
        <f t="shared" si="0"/>
        <v>20.106192982974676</v>
      </c>
      <c r="D51">
        <f t="shared" si="1"/>
        <v>-1.098531934385544</v>
      </c>
    </row>
    <row r="52" spans="1:4" x14ac:dyDescent="0.4">
      <c r="A52">
        <v>1.96</v>
      </c>
      <c r="B52">
        <v>-1.0029587572477701</v>
      </c>
      <c r="C52">
        <f t="shared" si="0"/>
        <v>20.525072003453317</v>
      </c>
      <c r="D52">
        <f t="shared" si="1"/>
        <v>-1.0051734578594704</v>
      </c>
    </row>
    <row r="53" spans="1:4" x14ac:dyDescent="0.4">
      <c r="A53">
        <v>2</v>
      </c>
      <c r="B53">
        <v>-0.74906632805559104</v>
      </c>
      <c r="C53">
        <f t="shared" si="0"/>
        <v>20.943951023931955</v>
      </c>
      <c r="D53">
        <f t="shared" si="1"/>
        <v>-0.75574973509759047</v>
      </c>
    </row>
    <row r="54" spans="1:4" x14ac:dyDescent="0.4">
      <c r="A54">
        <v>2.04</v>
      </c>
      <c r="B54">
        <v>-0.44630573087547898</v>
      </c>
      <c r="C54">
        <f t="shared" si="0"/>
        <v>21.362830044410593</v>
      </c>
      <c r="D54">
        <f t="shared" si="1"/>
        <v>-0.44953660101117743</v>
      </c>
    </row>
    <row r="55" spans="1:4" x14ac:dyDescent="0.4">
      <c r="A55">
        <v>2.08</v>
      </c>
      <c r="B55">
        <v>-0.146588286267503</v>
      </c>
      <c r="C55">
        <f t="shared" si="0"/>
        <v>21.781709064889235</v>
      </c>
      <c r="D55">
        <f t="shared" si="1"/>
        <v>-0.14673567738768351</v>
      </c>
    </row>
    <row r="56" spans="1:4" x14ac:dyDescent="0.4">
      <c r="A56">
        <v>2.12</v>
      </c>
      <c r="B56">
        <v>0.146566609860286</v>
      </c>
      <c r="C56">
        <f t="shared" si="0"/>
        <v>22.200588085367873</v>
      </c>
      <c r="D56">
        <f t="shared" si="1"/>
        <v>0.14673567738768484</v>
      </c>
    </row>
    <row r="57" spans="1:4" x14ac:dyDescent="0.4">
      <c r="A57">
        <v>2.16</v>
      </c>
      <c r="B57">
        <v>0.44628428170370099</v>
      </c>
      <c r="C57">
        <f t="shared" si="0"/>
        <v>22.619467105846514</v>
      </c>
      <c r="D57">
        <f t="shared" si="1"/>
        <v>0.44953660101117876</v>
      </c>
    </row>
    <row r="58" spans="1:4" x14ac:dyDescent="0.4">
      <c r="A58">
        <v>2.2000000000000002</v>
      </c>
      <c r="B58">
        <v>0.74908092745992405</v>
      </c>
      <c r="C58">
        <f t="shared" si="0"/>
        <v>23.038346126325152</v>
      </c>
      <c r="D58">
        <f t="shared" si="1"/>
        <v>0.75574973509759169</v>
      </c>
    </row>
    <row r="59" spans="1:4" x14ac:dyDescent="0.4">
      <c r="A59">
        <v>2.2400000000000002</v>
      </c>
      <c r="B59">
        <v>1.00302674976255</v>
      </c>
      <c r="C59">
        <f t="shared" si="0"/>
        <v>23.457225146803793</v>
      </c>
      <c r="D59">
        <f t="shared" si="1"/>
        <v>1.0051734578594729</v>
      </c>
    </row>
    <row r="60" spans="1:4" x14ac:dyDescent="0.4">
      <c r="A60">
        <v>2.2799999999999998</v>
      </c>
      <c r="B60">
        <v>1.1040576692506201</v>
      </c>
      <c r="C60">
        <f t="shared" si="0"/>
        <v>23.876104167282428</v>
      </c>
      <c r="D60">
        <f t="shared" si="1"/>
        <v>1.098531934385544</v>
      </c>
    </row>
    <row r="61" spans="1:4" x14ac:dyDescent="0.4">
      <c r="A61">
        <v>2.3199999999999998</v>
      </c>
      <c r="B61">
        <v>0.95728514903448503</v>
      </c>
      <c r="C61">
        <f t="shared" si="0"/>
        <v>24.294983187761066</v>
      </c>
      <c r="D61">
        <f t="shared" si="1"/>
        <v>0.95179625699786086</v>
      </c>
    </row>
    <row r="62" spans="1:4" x14ac:dyDescent="0.4">
      <c r="A62">
        <v>2.36</v>
      </c>
      <c r="B62">
        <v>0.55677948357540497</v>
      </c>
      <c r="C62">
        <f t="shared" si="0"/>
        <v>24.713862208239707</v>
      </c>
      <c r="D62">
        <f t="shared" si="1"/>
        <v>0.55563685684829389</v>
      </c>
    </row>
    <row r="63" spans="1:4" x14ac:dyDescent="0.4">
      <c r="A63">
        <v>2.4</v>
      </c>
      <c r="B63" s="1">
        <v>-1.9033891748528199E-5</v>
      </c>
      <c r="C63">
        <f t="shared" si="0"/>
        <v>25.132741228718345</v>
      </c>
      <c r="D63">
        <f t="shared" si="1"/>
        <v>1.368503959288109E-15</v>
      </c>
    </row>
    <row r="64" spans="1:4" x14ac:dyDescent="0.4">
      <c r="A64">
        <v>2.44</v>
      </c>
      <c r="B64">
        <v>-0.55681884955592797</v>
      </c>
      <c r="C64">
        <f t="shared" si="0"/>
        <v>25.551620249196986</v>
      </c>
      <c r="D64">
        <f t="shared" si="1"/>
        <v>-0.55563685684829589</v>
      </c>
    </row>
    <row r="65" spans="1:4" x14ac:dyDescent="0.4">
      <c r="A65">
        <v>2.48</v>
      </c>
      <c r="B65">
        <v>-0.95730666188060898</v>
      </c>
      <c r="C65">
        <f t="shared" si="0"/>
        <v>25.970499269675624</v>
      </c>
      <c r="D65">
        <f t="shared" si="1"/>
        <v>-0.95179625699785941</v>
      </c>
    </row>
    <row r="66" spans="1:4" x14ac:dyDescent="0.4">
      <c r="A66">
        <v>2.52</v>
      </c>
      <c r="B66">
        <v>-1.10401722287168</v>
      </c>
      <c r="C66">
        <f t="shared" si="0"/>
        <v>26.389378290154262</v>
      </c>
      <c r="D66">
        <f t="shared" si="1"/>
        <v>-1.098531934385544</v>
      </c>
    </row>
    <row r="67" spans="1:4" x14ac:dyDescent="0.4">
      <c r="A67">
        <v>2.56</v>
      </c>
      <c r="B67">
        <v>-1.00295875724808</v>
      </c>
      <c r="C67">
        <f t="shared" si="0"/>
        <v>26.808257310632904</v>
      </c>
      <c r="D67">
        <f t="shared" si="1"/>
        <v>-1.0051734578594704</v>
      </c>
    </row>
    <row r="68" spans="1:4" x14ac:dyDescent="0.4">
      <c r="A68">
        <v>2.6</v>
      </c>
      <c r="B68">
        <v>-0.74906632805579498</v>
      </c>
      <c r="C68">
        <f t="shared" ref="C68:C128" si="2">100/60*2*PI()*A68</f>
        <v>27.227136331111542</v>
      </c>
      <c r="D68">
        <f t="shared" ref="D68:D128" si="3">-0.1*100/60*2*PI()*SIN(C68)-0.3*100/60*2*PI()*(0.1/0.3)^2*SIN(2*C68)/2</f>
        <v>-0.75574973509759058</v>
      </c>
    </row>
    <row r="69" spans="1:4" x14ac:dyDescent="0.4">
      <c r="A69">
        <v>2.64</v>
      </c>
      <c r="B69">
        <v>-0.44630573087536901</v>
      </c>
      <c r="C69">
        <f t="shared" si="2"/>
        <v>27.646015351590183</v>
      </c>
      <c r="D69">
        <f t="shared" si="3"/>
        <v>-0.44953660101117499</v>
      </c>
    </row>
    <row r="70" spans="1:4" x14ac:dyDescent="0.4">
      <c r="A70">
        <v>2.68</v>
      </c>
      <c r="B70">
        <v>-0.14658828626752801</v>
      </c>
      <c r="C70">
        <f t="shared" si="2"/>
        <v>28.064894372068821</v>
      </c>
      <c r="D70">
        <f t="shared" si="3"/>
        <v>-0.1467356773876837</v>
      </c>
    </row>
    <row r="71" spans="1:4" x14ac:dyDescent="0.4">
      <c r="A71">
        <v>2.72</v>
      </c>
      <c r="B71">
        <v>0.14656660986031</v>
      </c>
      <c r="C71">
        <f t="shared" si="2"/>
        <v>28.483773392547462</v>
      </c>
      <c r="D71">
        <f t="shared" si="3"/>
        <v>0.14673567738768717</v>
      </c>
    </row>
    <row r="72" spans="1:4" x14ac:dyDescent="0.4">
      <c r="A72">
        <v>2.76</v>
      </c>
      <c r="B72">
        <v>0.44628428170370299</v>
      </c>
      <c r="C72">
        <f t="shared" si="2"/>
        <v>28.902652413026097</v>
      </c>
      <c r="D72">
        <f t="shared" si="3"/>
        <v>0.4495366010111761</v>
      </c>
    </row>
    <row r="73" spans="1:4" x14ac:dyDescent="0.4">
      <c r="A73">
        <v>2.8</v>
      </c>
      <c r="B73">
        <v>0.74908092745991495</v>
      </c>
      <c r="C73">
        <f t="shared" si="2"/>
        <v>29.321531433504735</v>
      </c>
      <c r="D73">
        <f t="shared" si="3"/>
        <v>0.75574973509758903</v>
      </c>
    </row>
    <row r="74" spans="1:4" x14ac:dyDescent="0.4">
      <c r="A74">
        <v>2.84</v>
      </c>
      <c r="B74">
        <v>1.00302674976259</v>
      </c>
      <c r="C74">
        <f t="shared" si="2"/>
        <v>29.740410453983376</v>
      </c>
      <c r="D74">
        <f t="shared" si="3"/>
        <v>1.0051734578594711</v>
      </c>
    </row>
    <row r="75" spans="1:4" x14ac:dyDescent="0.4">
      <c r="A75">
        <v>2.88</v>
      </c>
      <c r="B75">
        <v>1.10405766925021</v>
      </c>
      <c r="C75">
        <f t="shared" si="2"/>
        <v>30.159289474462014</v>
      </c>
      <c r="D75">
        <f t="shared" si="3"/>
        <v>1.098531934385544</v>
      </c>
    </row>
    <row r="76" spans="1:4" x14ac:dyDescent="0.4">
      <c r="A76">
        <v>2.92</v>
      </c>
      <c r="B76">
        <v>0.95728514903450601</v>
      </c>
      <c r="C76">
        <f t="shared" si="2"/>
        <v>30.578168494940655</v>
      </c>
      <c r="D76">
        <f t="shared" si="3"/>
        <v>0.95179625699785864</v>
      </c>
    </row>
    <row r="77" spans="1:4" x14ac:dyDescent="0.4">
      <c r="A77">
        <v>2.96</v>
      </c>
      <c r="B77">
        <v>0.55677948357540596</v>
      </c>
      <c r="C77">
        <f t="shared" si="2"/>
        <v>30.997047515419293</v>
      </c>
      <c r="D77">
        <f t="shared" si="3"/>
        <v>0.55563685684829434</v>
      </c>
    </row>
    <row r="78" spans="1:4" x14ac:dyDescent="0.4">
      <c r="A78">
        <v>3</v>
      </c>
      <c r="B78" s="1">
        <v>-1.9033891718761699E-5</v>
      </c>
      <c r="C78">
        <f t="shared" si="2"/>
        <v>31.415926535897931</v>
      </c>
      <c r="D78">
        <f t="shared" si="3"/>
        <v>1.7106299491101363E-15</v>
      </c>
    </row>
    <row r="79" spans="1:4" x14ac:dyDescent="0.4">
      <c r="A79">
        <v>3.04</v>
      </c>
      <c r="B79">
        <v>-0.55681884955598504</v>
      </c>
      <c r="C79">
        <f t="shared" si="2"/>
        <v>31.834805556376573</v>
      </c>
      <c r="D79">
        <f t="shared" si="3"/>
        <v>-0.55563685684829567</v>
      </c>
    </row>
    <row r="80" spans="1:4" x14ac:dyDescent="0.4">
      <c r="A80">
        <v>3.08</v>
      </c>
      <c r="B80">
        <v>-0.95730666188100899</v>
      </c>
      <c r="C80">
        <f t="shared" si="2"/>
        <v>32.253684576855214</v>
      </c>
      <c r="D80">
        <f t="shared" si="3"/>
        <v>-0.95179625699786163</v>
      </c>
    </row>
    <row r="81" spans="1:4" x14ac:dyDescent="0.4">
      <c r="A81">
        <v>3.12</v>
      </c>
      <c r="B81">
        <v>-1.1040172228717899</v>
      </c>
      <c r="C81">
        <f t="shared" si="2"/>
        <v>32.672563597333848</v>
      </c>
      <c r="D81">
        <f t="shared" si="3"/>
        <v>-1.098531934385544</v>
      </c>
    </row>
    <row r="82" spans="1:4" x14ac:dyDescent="0.4">
      <c r="A82">
        <v>3.16</v>
      </c>
      <c r="B82">
        <v>-1.00295875724817</v>
      </c>
      <c r="C82">
        <f t="shared" si="2"/>
        <v>33.09144261781249</v>
      </c>
      <c r="D82">
        <f t="shared" si="3"/>
        <v>-1.0051734578594704</v>
      </c>
    </row>
    <row r="83" spans="1:4" x14ac:dyDescent="0.4">
      <c r="A83">
        <v>3.2</v>
      </c>
      <c r="B83">
        <v>-0.74906632805579798</v>
      </c>
      <c r="C83">
        <f t="shared" si="2"/>
        <v>33.510321638291131</v>
      </c>
      <c r="D83">
        <f t="shared" si="3"/>
        <v>-0.75574973509758825</v>
      </c>
    </row>
    <row r="84" spans="1:4" x14ac:dyDescent="0.4">
      <c r="A84">
        <v>3.24</v>
      </c>
      <c r="B84">
        <v>-0.44630573087549302</v>
      </c>
      <c r="C84">
        <f t="shared" si="2"/>
        <v>33.929200658769773</v>
      </c>
      <c r="D84">
        <f t="shared" si="3"/>
        <v>-0.44953660101117254</v>
      </c>
    </row>
    <row r="85" spans="1:4" x14ac:dyDescent="0.4">
      <c r="A85">
        <v>3.28</v>
      </c>
      <c r="B85">
        <v>-0.146588286267433</v>
      </c>
      <c r="C85">
        <f t="shared" si="2"/>
        <v>34.348079679248407</v>
      </c>
      <c r="D85">
        <f t="shared" si="3"/>
        <v>-0.14673567738768389</v>
      </c>
    </row>
    <row r="86" spans="1:4" x14ac:dyDescent="0.4">
      <c r="A86">
        <v>3.32</v>
      </c>
      <c r="B86">
        <v>0.14656660986030301</v>
      </c>
      <c r="C86">
        <f t="shared" si="2"/>
        <v>34.766958699727041</v>
      </c>
      <c r="D86">
        <f t="shared" si="3"/>
        <v>0.14673567738768198</v>
      </c>
    </row>
    <row r="87" spans="1:4" x14ac:dyDescent="0.4">
      <c r="A87">
        <v>3.36</v>
      </c>
      <c r="B87">
        <v>0.44628428170372603</v>
      </c>
      <c r="C87">
        <f t="shared" si="2"/>
        <v>35.185837720205683</v>
      </c>
      <c r="D87">
        <f t="shared" si="3"/>
        <v>0.44953660101117587</v>
      </c>
    </row>
    <row r="88" spans="1:4" x14ac:dyDescent="0.4">
      <c r="A88">
        <v>3.4</v>
      </c>
      <c r="B88">
        <v>0.74908092745989996</v>
      </c>
      <c r="C88">
        <f t="shared" si="2"/>
        <v>35.604716740684324</v>
      </c>
      <c r="D88">
        <f t="shared" si="3"/>
        <v>0.75574973509759136</v>
      </c>
    </row>
    <row r="89" spans="1:4" x14ac:dyDescent="0.4">
      <c r="A89">
        <v>3.44</v>
      </c>
      <c r="B89">
        <v>1.0030267497628</v>
      </c>
      <c r="C89">
        <f t="shared" si="2"/>
        <v>36.023595761162966</v>
      </c>
      <c r="D89">
        <f t="shared" si="3"/>
        <v>1.0051734578594727</v>
      </c>
    </row>
    <row r="90" spans="1:4" x14ac:dyDescent="0.4">
      <c r="A90">
        <v>3.48</v>
      </c>
      <c r="B90">
        <v>1.10405766925043</v>
      </c>
      <c r="C90">
        <f t="shared" si="2"/>
        <v>36.4424747816416</v>
      </c>
      <c r="D90">
        <f t="shared" si="3"/>
        <v>1.098531934385544</v>
      </c>
    </row>
    <row r="91" spans="1:4" x14ac:dyDescent="0.4">
      <c r="A91">
        <v>3.52</v>
      </c>
      <c r="B91">
        <v>0.957285149034245</v>
      </c>
      <c r="C91">
        <f t="shared" si="2"/>
        <v>36.861353802120242</v>
      </c>
      <c r="D91">
        <f t="shared" si="3"/>
        <v>0.95179625699785864</v>
      </c>
    </row>
    <row r="92" spans="1:4" x14ac:dyDescent="0.4">
      <c r="A92">
        <v>3.56</v>
      </c>
      <c r="B92">
        <v>0.55677948357548801</v>
      </c>
      <c r="C92">
        <f t="shared" si="2"/>
        <v>37.280232822598883</v>
      </c>
      <c r="D92">
        <f t="shared" si="3"/>
        <v>0.55563685684829034</v>
      </c>
    </row>
    <row r="93" spans="1:4" x14ac:dyDescent="0.4">
      <c r="A93">
        <v>3.6</v>
      </c>
      <c r="B93" s="1">
        <v>-1.9033891694269101E-5</v>
      </c>
      <c r="C93">
        <f t="shared" si="2"/>
        <v>37.699111843077517</v>
      </c>
      <c r="D93">
        <f t="shared" si="3"/>
        <v>2.0527559389321634E-15</v>
      </c>
    </row>
    <row r="94" spans="1:4" x14ac:dyDescent="0.4">
      <c r="A94">
        <v>3.64</v>
      </c>
      <c r="B94">
        <v>-0.556818849556037</v>
      </c>
      <c r="C94">
        <f t="shared" si="2"/>
        <v>38.117990863556159</v>
      </c>
      <c r="D94">
        <f t="shared" si="3"/>
        <v>-0.55563685684829534</v>
      </c>
    </row>
    <row r="95" spans="1:4" x14ac:dyDescent="0.4">
      <c r="A95">
        <v>3.68</v>
      </c>
      <c r="B95">
        <v>-0.95730666188052405</v>
      </c>
      <c r="C95">
        <f t="shared" si="2"/>
        <v>38.5368698840348</v>
      </c>
      <c r="D95">
        <f t="shared" si="3"/>
        <v>-0.95179625699786141</v>
      </c>
    </row>
    <row r="96" spans="1:4" x14ac:dyDescent="0.4">
      <c r="A96">
        <v>3.72</v>
      </c>
      <c r="B96">
        <v>-1.1040172228718199</v>
      </c>
      <c r="C96">
        <f t="shared" si="2"/>
        <v>38.955748904513442</v>
      </c>
      <c r="D96">
        <f t="shared" si="3"/>
        <v>-1.0985319343855442</v>
      </c>
    </row>
    <row r="97" spans="1:4" x14ac:dyDescent="0.4">
      <c r="A97">
        <v>3.76</v>
      </c>
      <c r="B97">
        <v>-1.0029587572481899</v>
      </c>
      <c r="C97">
        <f t="shared" si="2"/>
        <v>39.374627924992076</v>
      </c>
      <c r="D97">
        <f t="shared" si="3"/>
        <v>-1.0051734578594709</v>
      </c>
    </row>
    <row r="98" spans="1:4" x14ac:dyDescent="0.4">
      <c r="A98">
        <v>3.8</v>
      </c>
      <c r="B98">
        <v>-0.74906632805578899</v>
      </c>
      <c r="C98">
        <f t="shared" si="2"/>
        <v>39.79350694547071</v>
      </c>
      <c r="D98">
        <f t="shared" si="3"/>
        <v>-0.75574973509759347</v>
      </c>
    </row>
    <row r="99" spans="1:4" x14ac:dyDescent="0.4">
      <c r="A99">
        <v>3.84</v>
      </c>
      <c r="B99">
        <v>-0.44630573087551101</v>
      </c>
      <c r="C99">
        <f t="shared" si="2"/>
        <v>40.212385965949352</v>
      </c>
      <c r="D99">
        <f t="shared" si="3"/>
        <v>-0.44953660101117798</v>
      </c>
    </row>
    <row r="100" spans="1:4" x14ac:dyDescent="0.4">
      <c r="A100">
        <v>3.88</v>
      </c>
      <c r="B100">
        <v>-0.146588286267504</v>
      </c>
      <c r="C100">
        <f t="shared" si="2"/>
        <v>40.631264986427993</v>
      </c>
      <c r="D100">
        <f t="shared" si="3"/>
        <v>-0.14673567738768406</v>
      </c>
    </row>
    <row r="101" spans="1:4" x14ac:dyDescent="0.4">
      <c r="A101">
        <v>3.92</v>
      </c>
      <c r="B101">
        <v>0.14656660986028999</v>
      </c>
      <c r="C101">
        <f t="shared" si="2"/>
        <v>41.050144006906635</v>
      </c>
      <c r="D101">
        <f t="shared" si="3"/>
        <v>0.14673567738768684</v>
      </c>
    </row>
    <row r="102" spans="1:4" x14ac:dyDescent="0.4">
      <c r="A102">
        <v>3.96</v>
      </c>
      <c r="B102">
        <v>0.44628428170377799</v>
      </c>
      <c r="C102">
        <f t="shared" si="2"/>
        <v>41.469023027385269</v>
      </c>
      <c r="D102">
        <f t="shared" si="3"/>
        <v>0.44953660101117565</v>
      </c>
    </row>
    <row r="103" spans="1:4" x14ac:dyDescent="0.4">
      <c r="A103">
        <v>4</v>
      </c>
      <c r="B103">
        <v>0.74908092745989596</v>
      </c>
      <c r="C103">
        <f t="shared" si="2"/>
        <v>41.887902047863911</v>
      </c>
      <c r="D103">
        <f t="shared" si="3"/>
        <v>0.75574973509759125</v>
      </c>
    </row>
    <row r="104" spans="1:4" x14ac:dyDescent="0.4">
      <c r="A104">
        <v>4.04</v>
      </c>
      <c r="B104">
        <v>1.00302674976281</v>
      </c>
      <c r="C104">
        <f t="shared" si="2"/>
        <v>42.306781068342552</v>
      </c>
      <c r="D104">
        <f t="shared" si="3"/>
        <v>1.0051734578594724</v>
      </c>
    </row>
    <row r="105" spans="1:4" x14ac:dyDescent="0.4">
      <c r="A105">
        <v>4.08</v>
      </c>
      <c r="B105">
        <v>1.1040576692507</v>
      </c>
      <c r="C105">
        <f t="shared" si="2"/>
        <v>42.725660088821186</v>
      </c>
      <c r="D105">
        <f t="shared" si="3"/>
        <v>1.098531934385544</v>
      </c>
    </row>
    <row r="106" spans="1:4" x14ac:dyDescent="0.4">
      <c r="A106">
        <v>4.12</v>
      </c>
      <c r="B106">
        <v>0.95728514903461503</v>
      </c>
      <c r="C106">
        <f t="shared" si="2"/>
        <v>43.144539109299828</v>
      </c>
      <c r="D106">
        <f t="shared" si="3"/>
        <v>0.95179625699785886</v>
      </c>
    </row>
    <row r="107" spans="1:4" x14ac:dyDescent="0.4">
      <c r="A107">
        <v>4.16</v>
      </c>
      <c r="B107">
        <v>0.55677948357514195</v>
      </c>
      <c r="C107">
        <f t="shared" si="2"/>
        <v>43.563418129778469</v>
      </c>
      <c r="D107">
        <f t="shared" si="3"/>
        <v>0.55563685684829056</v>
      </c>
    </row>
    <row r="108" spans="1:4" x14ac:dyDescent="0.4">
      <c r="A108">
        <v>4.2</v>
      </c>
      <c r="B108" s="1">
        <v>-1.90338917286983E-5</v>
      </c>
      <c r="C108">
        <f t="shared" si="2"/>
        <v>43.982297150257111</v>
      </c>
      <c r="D108">
        <f t="shared" si="3"/>
        <v>-7.5261662433592502E-15</v>
      </c>
    </row>
    <row r="109" spans="1:4" x14ac:dyDescent="0.4">
      <c r="A109">
        <v>4.24</v>
      </c>
      <c r="B109">
        <v>-0.55681884955592797</v>
      </c>
      <c r="C109">
        <f t="shared" si="2"/>
        <v>44.401176170735745</v>
      </c>
      <c r="D109">
        <f t="shared" si="3"/>
        <v>-0.555636856848295</v>
      </c>
    </row>
    <row r="110" spans="1:4" x14ac:dyDescent="0.4">
      <c r="A110">
        <v>4.28</v>
      </c>
      <c r="B110">
        <v>-0.95730666188075997</v>
      </c>
      <c r="C110">
        <f t="shared" si="2"/>
        <v>44.820055191214387</v>
      </c>
      <c r="D110">
        <f t="shared" si="3"/>
        <v>-0.9517962569978613</v>
      </c>
    </row>
    <row r="111" spans="1:4" x14ac:dyDescent="0.4">
      <c r="A111">
        <v>4.32</v>
      </c>
      <c r="B111">
        <v>-1.1040172228717899</v>
      </c>
      <c r="C111">
        <f t="shared" si="2"/>
        <v>45.238934211693028</v>
      </c>
      <c r="D111">
        <f t="shared" si="3"/>
        <v>-1.0985319343855442</v>
      </c>
    </row>
    <row r="112" spans="1:4" x14ac:dyDescent="0.4">
      <c r="A112">
        <v>4.3600000000000003</v>
      </c>
      <c r="B112">
        <v>-1.0029587572480201</v>
      </c>
      <c r="C112">
        <f t="shared" si="2"/>
        <v>45.657813232171669</v>
      </c>
      <c r="D112">
        <f t="shared" si="3"/>
        <v>-1.0051734578594675</v>
      </c>
    </row>
    <row r="113" spans="1:4" x14ac:dyDescent="0.4">
      <c r="A113">
        <v>4.4000000000000004</v>
      </c>
      <c r="B113">
        <v>-0.74906632805588802</v>
      </c>
      <c r="C113">
        <f t="shared" si="2"/>
        <v>46.076692252650304</v>
      </c>
      <c r="D113">
        <f t="shared" si="3"/>
        <v>-0.75574973509758858</v>
      </c>
    </row>
    <row r="114" spans="1:4" x14ac:dyDescent="0.4">
      <c r="A114">
        <v>4.4400000000000004</v>
      </c>
      <c r="B114">
        <v>-0.44630573087534298</v>
      </c>
      <c r="C114">
        <f t="shared" si="2"/>
        <v>46.495571273128945</v>
      </c>
      <c r="D114">
        <f t="shared" si="3"/>
        <v>-0.44953660101117288</v>
      </c>
    </row>
    <row r="115" spans="1:4" x14ac:dyDescent="0.4">
      <c r="A115">
        <v>4.4800000000000004</v>
      </c>
      <c r="B115">
        <v>-0.146588286267549</v>
      </c>
      <c r="C115">
        <f t="shared" si="2"/>
        <v>46.914450293607587</v>
      </c>
      <c r="D115">
        <f t="shared" si="3"/>
        <v>-0.1467356773876792</v>
      </c>
    </row>
    <row r="116" spans="1:4" x14ac:dyDescent="0.4">
      <c r="A116">
        <v>4.5199999999999996</v>
      </c>
      <c r="B116">
        <v>0.14656660986029699</v>
      </c>
      <c r="C116">
        <f t="shared" si="2"/>
        <v>47.333329314086214</v>
      </c>
      <c r="D116">
        <f t="shared" si="3"/>
        <v>0.14673567738768165</v>
      </c>
    </row>
    <row r="117" spans="1:4" x14ac:dyDescent="0.4">
      <c r="A117">
        <v>4.5599999999999996</v>
      </c>
      <c r="B117">
        <v>0.44628428170367601</v>
      </c>
      <c r="C117">
        <f t="shared" si="2"/>
        <v>47.752208334564855</v>
      </c>
      <c r="D117">
        <f t="shared" si="3"/>
        <v>0.44953660101117537</v>
      </c>
    </row>
    <row r="118" spans="1:4" x14ac:dyDescent="0.4">
      <c r="A118">
        <v>4.5999999999999996</v>
      </c>
      <c r="B118">
        <v>0.74908092745985799</v>
      </c>
      <c r="C118">
        <f t="shared" si="2"/>
        <v>48.171087355043497</v>
      </c>
      <c r="D118">
        <f t="shared" si="3"/>
        <v>0.75574973509759102</v>
      </c>
    </row>
    <row r="119" spans="1:4" x14ac:dyDescent="0.4">
      <c r="A119">
        <v>4.6399999999999997</v>
      </c>
      <c r="B119">
        <v>1.0030267497623899</v>
      </c>
      <c r="C119">
        <f t="shared" si="2"/>
        <v>48.589966375522131</v>
      </c>
      <c r="D119">
        <f t="shared" si="3"/>
        <v>1.0051734578594693</v>
      </c>
    </row>
    <row r="120" spans="1:4" x14ac:dyDescent="0.4">
      <c r="A120">
        <v>4.68</v>
      </c>
      <c r="B120">
        <v>1.1040576692506301</v>
      </c>
      <c r="C120">
        <f t="shared" si="2"/>
        <v>49.008845396000773</v>
      </c>
      <c r="D120">
        <f t="shared" si="3"/>
        <v>1.098531934385544</v>
      </c>
    </row>
    <row r="121" spans="1:4" x14ac:dyDescent="0.4">
      <c r="A121">
        <v>4.72</v>
      </c>
      <c r="B121">
        <v>0.95728514903412398</v>
      </c>
      <c r="C121">
        <f t="shared" si="2"/>
        <v>49.427724416479414</v>
      </c>
      <c r="D121">
        <f t="shared" si="3"/>
        <v>0.95179625699785908</v>
      </c>
    </row>
    <row r="122" spans="1:4" x14ac:dyDescent="0.4">
      <c r="A122">
        <v>4.76</v>
      </c>
      <c r="B122">
        <v>0.55677948357555396</v>
      </c>
      <c r="C122">
        <f t="shared" si="2"/>
        <v>49.846603436958048</v>
      </c>
      <c r="D122">
        <f t="shared" si="3"/>
        <v>0.55563685684829944</v>
      </c>
    </row>
    <row r="123" spans="1:4" x14ac:dyDescent="0.4">
      <c r="A123">
        <v>4.8</v>
      </c>
      <c r="B123" s="1">
        <v>-1.9033891831597699E-5</v>
      </c>
      <c r="C123">
        <f t="shared" si="2"/>
        <v>50.26548245743669</v>
      </c>
      <c r="D123">
        <f t="shared" si="3"/>
        <v>2.7370079185762179E-15</v>
      </c>
    </row>
    <row r="124" spans="1:4" x14ac:dyDescent="0.4">
      <c r="A124">
        <v>4.84</v>
      </c>
      <c r="B124">
        <v>-0.55681884955611005</v>
      </c>
      <c r="C124">
        <f t="shared" si="2"/>
        <v>50.684361477915331</v>
      </c>
      <c r="D124">
        <f t="shared" si="3"/>
        <v>-0.55563685684829478</v>
      </c>
    </row>
    <row r="125" spans="1:4" x14ac:dyDescent="0.4">
      <c r="A125">
        <v>4.88</v>
      </c>
      <c r="B125">
        <v>-0.95730666188077895</v>
      </c>
      <c r="C125">
        <f t="shared" si="2"/>
        <v>51.103240498393973</v>
      </c>
      <c r="D125">
        <f t="shared" si="3"/>
        <v>-0.95179625699786108</v>
      </c>
    </row>
    <row r="126" spans="1:4" x14ac:dyDescent="0.4">
      <c r="A126">
        <v>4.92</v>
      </c>
      <c r="B126">
        <v>-1.1040172228717999</v>
      </c>
      <c r="C126">
        <f t="shared" si="2"/>
        <v>51.522119518872607</v>
      </c>
      <c r="D126">
        <f t="shared" si="3"/>
        <v>-1.098531934385544</v>
      </c>
    </row>
    <row r="127" spans="1:4" x14ac:dyDescent="0.4">
      <c r="A127">
        <v>4.96</v>
      </c>
      <c r="B127">
        <v>-1.0029587572476399</v>
      </c>
      <c r="C127">
        <f t="shared" si="2"/>
        <v>51.940998539351249</v>
      </c>
      <c r="D127">
        <f t="shared" si="3"/>
        <v>-1.0051734578594711</v>
      </c>
    </row>
    <row r="128" spans="1:4" x14ac:dyDescent="0.4">
      <c r="A128">
        <v>5</v>
      </c>
      <c r="B128">
        <v>-0.74906632805534501</v>
      </c>
      <c r="C128">
        <f t="shared" si="2"/>
        <v>52.35987755982989</v>
      </c>
      <c r="D128">
        <f t="shared" si="3"/>
        <v>-0.75574973509758869</v>
      </c>
    </row>
  </sheetData>
  <phoneticPr fontId="18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velocity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主勲</dc:creator>
  <cp:lastModifiedBy>篠原　主勲</cp:lastModifiedBy>
  <dcterms:created xsi:type="dcterms:W3CDTF">2024-11-07T06:34:16Z</dcterms:created>
  <dcterms:modified xsi:type="dcterms:W3CDTF">2026-09-20T07:42:00Z</dcterms:modified>
</cp:coreProperties>
</file>