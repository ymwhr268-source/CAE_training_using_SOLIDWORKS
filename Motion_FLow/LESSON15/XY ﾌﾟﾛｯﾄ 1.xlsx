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heets/sheet1.xml" ContentType="application/vnd.openxmlformats-officedocument.spreadsheetml.chartsheet+xml"/>
  <Override PartName="/xl/chartsheets/sheet2.xml" ContentType="application/vnd.openxmlformats-officedocument.spreadsheetml.chartsheet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4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41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ymwhr268\Desktop\Motion_FLow\LESSON15\"/>
    </mc:Choice>
  </mc:AlternateContent>
  <xr:revisionPtr revIDLastSave="0" documentId="13_ncr:1_{21FAF16A-A07C-4327-9FAA-E561DE9C40C4}" xr6:coauthVersionLast="36" xr6:coauthVersionMax="36" xr10:uidLastSave="{00000000-0000-0000-0000-000000000000}"/>
  <bookViews>
    <workbookView xWindow="0" yWindow="0" windowWidth="28800" windowHeight="11265" activeTab="2" xr2:uid="{00000000-000D-0000-FFFF-FFFF00000000}"/>
  </bookViews>
  <sheets>
    <sheet name="速度" sheetId="3" r:id="rId1"/>
    <sheet name="温度" sheetId="2" r:id="rId2"/>
    <sheet name="ﾌﾟﾛｯﾄﾃﾞｰﾀ" sheetId="1" r:id="rId3"/>
  </sheets>
  <calcPr calcId="191029"/>
</workbook>
</file>

<file path=xl/calcChain.xml><?xml version="1.0" encoding="utf-8"?>
<calcChain xmlns="http://schemas.openxmlformats.org/spreadsheetml/2006/main">
  <c r="I6" i="1" l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5" i="1"/>
  <c r="G7" i="1"/>
  <c r="G8" i="1" s="1"/>
  <c r="G9" i="1" s="1"/>
  <c r="G10" i="1" s="1"/>
  <c r="G11" i="1" s="1"/>
  <c r="G12" i="1" s="1"/>
  <c r="G13" i="1" s="1"/>
  <c r="G14" i="1" s="1"/>
  <c r="G15" i="1" s="1"/>
  <c r="G16" i="1" s="1"/>
  <c r="G17" i="1" s="1"/>
  <c r="G18" i="1" s="1"/>
  <c r="G19" i="1" s="1"/>
  <c r="G20" i="1" s="1"/>
  <c r="G21" i="1" s="1"/>
  <c r="G22" i="1" s="1"/>
  <c r="G23" i="1" s="1"/>
  <c r="G24" i="1" s="1"/>
  <c r="G25" i="1" s="1"/>
  <c r="G26" i="1" s="1"/>
  <c r="G27" i="1" s="1"/>
  <c r="G28" i="1" s="1"/>
  <c r="G29" i="1" s="1"/>
  <c r="G30" i="1" s="1"/>
  <c r="G31" i="1" s="1"/>
  <c r="G32" i="1" s="1"/>
  <c r="G33" i="1" s="1"/>
  <c r="G34" i="1" s="1"/>
  <c r="G35" i="1" s="1"/>
  <c r="G6" i="1"/>
</calcChain>
</file>

<file path=xl/sharedStrings.xml><?xml version="1.0" encoding="utf-8"?>
<sst xmlns="http://schemas.openxmlformats.org/spreadsheetml/2006/main" count="11" uniqueCount="8">
  <si>
    <t>温度 [K]</t>
  </si>
  <si>
    <t>長さ [m]</t>
  </si>
  <si>
    <t>ｽｹｯﾁ2</t>
  </si>
  <si>
    <t>速度 [m/s]</t>
  </si>
  <si>
    <t>理論</t>
    <rPh sb="0" eb="2">
      <t>リロン</t>
    </rPh>
    <phoneticPr fontId="1"/>
  </si>
  <si>
    <t>SOLIDWORKS解析</t>
    <rPh sb="10" eb="12">
      <t>カイセキ</t>
    </rPh>
    <phoneticPr fontId="1"/>
  </si>
  <si>
    <t>温度「K]</t>
    <rPh sb="0" eb="2">
      <t>オンド</t>
    </rPh>
    <phoneticPr fontId="1"/>
  </si>
  <si>
    <t>速度[m/s]</t>
    <rPh sb="0" eb="2">
      <t>ソクド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</si>
</sst>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ＭＳ Ｐゴシック"/>
      <family val="2"/>
      <charset val="204"/>
      <scheme val="minor"/>
    </font>
    <font>
      <sz val="6"/>
      <name val="ＭＳ Ｐ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1.xml"/><Relationship Id="rId7" Type="http://schemas.openxmlformats.org/officeDocument/2006/relationships/calcChain" Target="calcChain.xml"/><Relationship Id="rId2" Type="http://schemas.openxmlformats.org/officeDocument/2006/relationships/chartsheet" Target="chartsheets/sheet2.xml"/><Relationship Id="rId1" Type="http://schemas.openxmlformats.org/officeDocument/2006/relationships/chartsheet" Target="chart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Part1.SLDPRT [lesson15 [ﾃﾞﾌｫﾙﾄ]]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ｽｹｯﾁ2</c:v>
          </c:tx>
          <c:spPr>
            <a:ln w="28575">
              <a:solidFill>
                <a:srgbClr val="A84340"/>
              </a:solidFill>
              <a:prstDash val="solid"/>
            </a:ln>
          </c:spPr>
          <c:marker>
            <c:symbol val="circle"/>
            <c:size val="3"/>
            <c:spPr>
              <a:solidFill>
                <a:srgbClr val="A84340"/>
              </a:solidFill>
              <a:ln>
                <a:solidFill>
                  <a:srgbClr val="A84340"/>
                </a:solidFill>
                <a:prstDash val="solid"/>
              </a:ln>
            </c:spPr>
          </c:marker>
          <c:xVal>
            <c:numRef>
              <c:f>ﾌﾟﾛｯﾄﾃﾞｰﾀ!$D$5:$D$16</c:f>
              <c:numCache>
                <c:formatCode>General</c:formatCode>
                <c:ptCount val="12"/>
                <c:pt idx="0">
                  <c:v>1E-3</c:v>
                </c:pt>
                <c:pt idx="1">
                  <c:v>1.6413899691546099E-3</c:v>
                </c:pt>
                <c:pt idx="2">
                  <c:v>2.2827799383092302E-3</c:v>
                </c:pt>
                <c:pt idx="3">
                  <c:v>8.3081067547253595E-3</c:v>
                </c:pt>
                <c:pt idx="4">
                  <c:v>1.13151498446301E-2</c:v>
                </c:pt>
                <c:pt idx="5">
                  <c:v>1.5021375018756101E-2</c:v>
                </c:pt>
                <c:pt idx="6">
                  <c:v>1.9589352473898002E-2</c:v>
                </c:pt>
                <c:pt idx="7">
                  <c:v>2.5219452386973401E-2</c:v>
                </c:pt>
                <c:pt idx="8">
                  <c:v>3.21586339706154E-2</c:v>
                </c:pt>
                <c:pt idx="9">
                  <c:v>5.0500000000000003E-2</c:v>
                </c:pt>
                <c:pt idx="10">
                  <c:v>0.1</c:v>
                </c:pt>
              </c:numCache>
            </c:numRef>
          </c:xVal>
          <c:yVal>
            <c:numRef>
              <c:f>ﾌﾟﾛｯﾄﾃﾞｰﾀ!$E$5:$E$16</c:f>
              <c:numCache>
                <c:formatCode>General</c:formatCode>
                <c:ptCount val="12"/>
                <c:pt idx="0">
                  <c:v>0</c:v>
                </c:pt>
                <c:pt idx="1">
                  <c:v>5.8316201989386703E-3</c:v>
                </c:pt>
                <c:pt idx="2">
                  <c:v>7.89607675182173E-3</c:v>
                </c:pt>
                <c:pt idx="3">
                  <c:v>4.3598252674632E-2</c:v>
                </c:pt>
                <c:pt idx="4">
                  <c:v>6.0606822247324298E-2</c:v>
                </c:pt>
                <c:pt idx="5">
                  <c:v>7.8439154589571097E-2</c:v>
                </c:pt>
                <c:pt idx="6">
                  <c:v>9.2663122511490101E-2</c:v>
                </c:pt>
                <c:pt idx="7">
                  <c:v>9.9350659916599707E-2</c:v>
                </c:pt>
                <c:pt idx="8">
                  <c:v>0.10052437791688799</c:v>
                </c:pt>
                <c:pt idx="9">
                  <c:v>0.10020539630986899</c:v>
                </c:pt>
                <c:pt idx="10">
                  <c:v>0.100007758003037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F70-485E-BB02-BF07EABF082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509752815"/>
      </c:scatterChart>
      <c:valAx>
        <c:axId val="1"/>
        <c:scaling>
          <c:orientation val="minMax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長さ [m]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09752815"/>
        <c:crosses val="autoZero"/>
        <c:crossBetween val="midCat"/>
      </c:valAx>
      <c:valAx>
        <c:axId val="509752815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速度 [m/s]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"/>
        <c:crosses val="autoZero"/>
        <c:crossBetween val="between"/>
      </c:valAx>
      <c:spPr>
        <a:noFill/>
      </c:spPr>
    </c:plotArea>
    <c:legend>
      <c:legendPos val="r"/>
      <c:overlay val="0"/>
    </c:legend>
    <c:plotVisOnly val="1"/>
    <c:dispBlanksAs val="gap"/>
    <c:showDLblsOverMax val="0"/>
  </c:char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Part1.SLDPRT [lesson15 [ﾃﾞﾌｫﾙﾄ]]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ｽｹｯﾁ2</c:v>
          </c:tx>
          <c:spPr>
            <a:ln w="28575">
              <a:solidFill>
                <a:srgbClr val="A84340"/>
              </a:solidFill>
              <a:prstDash val="solid"/>
            </a:ln>
          </c:spPr>
          <c:marker>
            <c:symbol val="circle"/>
            <c:size val="3"/>
            <c:spPr>
              <a:solidFill>
                <a:srgbClr val="A84340"/>
              </a:solidFill>
              <a:ln>
                <a:solidFill>
                  <a:srgbClr val="A84340"/>
                </a:solidFill>
                <a:prstDash val="solid"/>
              </a:ln>
            </c:spPr>
          </c:marker>
          <c:xVal>
            <c:numRef>
              <c:f>ﾌﾟﾛｯﾄﾃﾞｰﾀ!$A$5:$A$21</c:f>
              <c:numCache>
                <c:formatCode>General</c:formatCode>
                <c:ptCount val="17"/>
                <c:pt idx="0">
                  <c:v>0</c:v>
                </c:pt>
                <c:pt idx="1">
                  <c:v>2.5000000000000001E-4</c:v>
                </c:pt>
                <c:pt idx="2">
                  <c:v>5.0000000000000001E-4</c:v>
                </c:pt>
                <c:pt idx="3">
                  <c:v>9.7970002383345996E-4</c:v>
                </c:pt>
                <c:pt idx="4">
                  <c:v>1E-3</c:v>
                </c:pt>
                <c:pt idx="5">
                  <c:v>1.6413899691546099E-3</c:v>
                </c:pt>
                <c:pt idx="6">
                  <c:v>2.2827799383092302E-3</c:v>
                </c:pt>
                <c:pt idx="7">
                  <c:v>8.9095153727063101E-3</c:v>
                </c:pt>
                <c:pt idx="8">
                  <c:v>1.13151498446301E-2</c:v>
                </c:pt>
                <c:pt idx="9">
                  <c:v>1.5021375018756101E-2</c:v>
                </c:pt>
                <c:pt idx="10">
                  <c:v>1.9589352473898002E-2</c:v>
                </c:pt>
                <c:pt idx="11">
                  <c:v>2.5219452386973401E-2</c:v>
                </c:pt>
                <c:pt idx="12">
                  <c:v>3.21586339706154E-2</c:v>
                </c:pt>
                <c:pt idx="13">
                  <c:v>4.2669022491558101E-2</c:v>
                </c:pt>
                <c:pt idx="14">
                  <c:v>5.0500000000000003E-2</c:v>
                </c:pt>
                <c:pt idx="15">
                  <c:v>0.1</c:v>
                </c:pt>
              </c:numCache>
            </c:numRef>
          </c:xVal>
          <c:yVal>
            <c:numRef>
              <c:f>ﾌﾟﾛｯﾄﾃﾞｰﾀ!$B$5:$B$21</c:f>
              <c:numCache>
                <c:formatCode>General</c:formatCode>
                <c:ptCount val="17"/>
                <c:pt idx="0">
                  <c:v>373</c:v>
                </c:pt>
                <c:pt idx="1">
                  <c:v>373</c:v>
                </c:pt>
                <c:pt idx="2">
                  <c:v>373</c:v>
                </c:pt>
                <c:pt idx="3">
                  <c:v>373</c:v>
                </c:pt>
                <c:pt idx="4">
                  <c:v>373</c:v>
                </c:pt>
                <c:pt idx="5">
                  <c:v>368.775459546739</c:v>
                </c:pt>
                <c:pt idx="6">
                  <c:v>367.30694530808199</c:v>
                </c:pt>
                <c:pt idx="7">
                  <c:v>339.48103383840902</c:v>
                </c:pt>
                <c:pt idx="8">
                  <c:v>329.66570643683502</c:v>
                </c:pt>
                <c:pt idx="9">
                  <c:v>316.112608964706</c:v>
                </c:pt>
                <c:pt idx="10">
                  <c:v>303.77981428471099</c:v>
                </c:pt>
                <c:pt idx="11">
                  <c:v>296.17924704038899</c:v>
                </c:pt>
                <c:pt idx="12">
                  <c:v>293.62273368346098</c:v>
                </c:pt>
                <c:pt idx="13">
                  <c:v>293.22802637688699</c:v>
                </c:pt>
                <c:pt idx="14">
                  <c:v>293.20390745516897</c:v>
                </c:pt>
                <c:pt idx="15">
                  <c:v>293.20000001304902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8B4-49D0-B91F-41AF0B2115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"/>
        <c:axId val="1"/>
      </c:scatterChart>
      <c:valAx>
        <c:axId val="2"/>
        <c:scaling>
          <c:orientation val="minMax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長さ [m]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"/>
        <c:crosses val="autoZero"/>
        <c:crossBetween val="midCat"/>
      </c:valAx>
      <c:valAx>
        <c:axId val="1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温度 [K]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2"/>
        <c:crosses val="autoZero"/>
        <c:crossBetween val="between"/>
      </c:valAx>
      <c:spPr>
        <a:noFill/>
      </c:spPr>
    </c:plotArea>
    <c:legend>
      <c:legendPos val="r"/>
      <c:overlay val="0"/>
    </c:legend>
    <c:plotVisOnly val="1"/>
    <c:dispBlanksAs val="gap"/>
    <c:showDLblsOverMax val="0"/>
  </c:char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ja-JP" altLang="en-US"/>
              <a:t>図</a:t>
            </a:r>
            <a:r>
              <a:rPr lang="en-US" altLang="ja-JP"/>
              <a:t>15.27 </a:t>
            </a:r>
            <a:r>
              <a:rPr lang="ja-JP" altLang="en-US"/>
              <a:t>温度分布</a:t>
            </a:r>
          </a:p>
        </c:rich>
      </c:tx>
      <c:layout>
        <c:manualLayout>
          <c:xMode val="edge"/>
          <c:yMode val="edge"/>
          <c:x val="0.43888888888888894"/>
          <c:y val="0.87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>
        <c:manualLayout>
          <c:layoutTarget val="inner"/>
          <c:xMode val="edge"/>
          <c:yMode val="edge"/>
          <c:x val="0.15702537182852147"/>
          <c:y val="5.1851851851851864E-2"/>
          <c:w val="0.64426640419947512"/>
          <c:h val="0.61389690871974334"/>
        </c:manualLayout>
      </c:layout>
      <c:scatterChart>
        <c:scatterStyle val="lineMarker"/>
        <c:varyColors val="0"/>
        <c:ser>
          <c:idx val="0"/>
          <c:order val="0"/>
          <c:tx>
            <c:strRef>
              <c:f>ﾌﾟﾛｯﾄﾃﾞｰﾀ!$D$1</c:f>
              <c:strCache>
                <c:ptCount val="1"/>
                <c:pt idx="0">
                  <c:v>SOLIDWORKS解析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ﾌﾟﾛｯﾄﾃﾞｰﾀ!$A$5:$A$20</c:f>
              <c:numCache>
                <c:formatCode>General</c:formatCode>
                <c:ptCount val="16"/>
                <c:pt idx="0">
                  <c:v>0</c:v>
                </c:pt>
                <c:pt idx="1">
                  <c:v>2.5000000000000001E-4</c:v>
                </c:pt>
                <c:pt idx="2">
                  <c:v>5.0000000000000001E-4</c:v>
                </c:pt>
                <c:pt idx="3">
                  <c:v>9.7970002383345996E-4</c:v>
                </c:pt>
                <c:pt idx="4">
                  <c:v>1E-3</c:v>
                </c:pt>
                <c:pt idx="5">
                  <c:v>1.6413899691546099E-3</c:v>
                </c:pt>
                <c:pt idx="6">
                  <c:v>2.2827799383092302E-3</c:v>
                </c:pt>
                <c:pt idx="7">
                  <c:v>8.9095153727063101E-3</c:v>
                </c:pt>
                <c:pt idx="8">
                  <c:v>1.13151498446301E-2</c:v>
                </c:pt>
                <c:pt idx="9">
                  <c:v>1.5021375018756101E-2</c:v>
                </c:pt>
                <c:pt idx="10">
                  <c:v>1.9589352473898002E-2</c:v>
                </c:pt>
                <c:pt idx="11">
                  <c:v>2.5219452386973401E-2</c:v>
                </c:pt>
                <c:pt idx="12">
                  <c:v>3.21586339706154E-2</c:v>
                </c:pt>
                <c:pt idx="13">
                  <c:v>4.2669022491558101E-2</c:v>
                </c:pt>
                <c:pt idx="14">
                  <c:v>5.0500000000000003E-2</c:v>
                </c:pt>
                <c:pt idx="15">
                  <c:v>0.1</c:v>
                </c:pt>
              </c:numCache>
            </c:numRef>
          </c:xVal>
          <c:yVal>
            <c:numRef>
              <c:f>ﾌﾟﾛｯﾄﾃﾞｰﾀ!$B$5:$B$20</c:f>
              <c:numCache>
                <c:formatCode>General</c:formatCode>
                <c:ptCount val="16"/>
                <c:pt idx="0">
                  <c:v>373</c:v>
                </c:pt>
                <c:pt idx="1">
                  <c:v>373</c:v>
                </c:pt>
                <c:pt idx="2">
                  <c:v>373</c:v>
                </c:pt>
                <c:pt idx="3">
                  <c:v>373</c:v>
                </c:pt>
                <c:pt idx="4">
                  <c:v>373</c:v>
                </c:pt>
                <c:pt idx="5">
                  <c:v>368.775459546739</c:v>
                </c:pt>
                <c:pt idx="6">
                  <c:v>367.30694530808199</c:v>
                </c:pt>
                <c:pt idx="7">
                  <c:v>339.48103383840902</c:v>
                </c:pt>
                <c:pt idx="8">
                  <c:v>329.66570643683502</c:v>
                </c:pt>
                <c:pt idx="9">
                  <c:v>316.112608964706</c:v>
                </c:pt>
                <c:pt idx="10">
                  <c:v>303.77981428471099</c:v>
                </c:pt>
                <c:pt idx="11">
                  <c:v>296.17924704038899</c:v>
                </c:pt>
                <c:pt idx="12">
                  <c:v>293.62273368346098</c:v>
                </c:pt>
                <c:pt idx="13">
                  <c:v>293.22802637688699</c:v>
                </c:pt>
                <c:pt idx="14">
                  <c:v>293.20390745516897</c:v>
                </c:pt>
                <c:pt idx="15">
                  <c:v>293.20000001304902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CAF-40EB-98DC-C5DDDA0AA58F}"/>
            </c:ext>
          </c:extLst>
        </c:ser>
        <c:ser>
          <c:idx val="1"/>
          <c:order val="1"/>
          <c:tx>
            <c:strRef>
              <c:f>ﾌﾟﾛｯﾄﾃﾞｰﾀ!$G$1</c:f>
              <c:strCache>
                <c:ptCount val="1"/>
                <c:pt idx="0">
                  <c:v>理論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ﾌﾟﾛｯﾄﾃﾞｰﾀ!$G$5:$G$35</c:f>
              <c:numCache>
                <c:formatCode>General</c:formatCode>
                <c:ptCount val="31"/>
                <c:pt idx="0">
                  <c:v>0</c:v>
                </c:pt>
                <c:pt idx="1">
                  <c:v>1E-3</c:v>
                </c:pt>
                <c:pt idx="2">
                  <c:v>2E-3</c:v>
                </c:pt>
                <c:pt idx="3">
                  <c:v>3.0000000000000001E-3</c:v>
                </c:pt>
                <c:pt idx="4">
                  <c:v>4.0000000000000001E-3</c:v>
                </c:pt>
                <c:pt idx="5">
                  <c:v>5.0000000000000001E-3</c:v>
                </c:pt>
                <c:pt idx="6">
                  <c:v>6.0000000000000001E-3</c:v>
                </c:pt>
                <c:pt idx="7">
                  <c:v>7.0000000000000001E-3</c:v>
                </c:pt>
                <c:pt idx="8">
                  <c:v>8.0000000000000002E-3</c:v>
                </c:pt>
                <c:pt idx="9">
                  <c:v>9.0000000000000011E-3</c:v>
                </c:pt>
                <c:pt idx="10">
                  <c:v>1.0000000000000002E-2</c:v>
                </c:pt>
                <c:pt idx="11">
                  <c:v>1.1000000000000003E-2</c:v>
                </c:pt>
                <c:pt idx="12">
                  <c:v>1.2000000000000004E-2</c:v>
                </c:pt>
                <c:pt idx="13">
                  <c:v>1.3000000000000005E-2</c:v>
                </c:pt>
                <c:pt idx="14">
                  <c:v>1.4000000000000005E-2</c:v>
                </c:pt>
                <c:pt idx="15">
                  <c:v>1.5000000000000006E-2</c:v>
                </c:pt>
                <c:pt idx="16">
                  <c:v>1.6000000000000007E-2</c:v>
                </c:pt>
                <c:pt idx="17">
                  <c:v>1.7000000000000008E-2</c:v>
                </c:pt>
                <c:pt idx="18">
                  <c:v>1.8000000000000009E-2</c:v>
                </c:pt>
                <c:pt idx="19">
                  <c:v>1.900000000000001E-2</c:v>
                </c:pt>
                <c:pt idx="20">
                  <c:v>2.0000000000000011E-2</c:v>
                </c:pt>
                <c:pt idx="21">
                  <c:v>2.1000000000000012E-2</c:v>
                </c:pt>
                <c:pt idx="22">
                  <c:v>2.2000000000000013E-2</c:v>
                </c:pt>
                <c:pt idx="23">
                  <c:v>2.3000000000000013E-2</c:v>
                </c:pt>
                <c:pt idx="24">
                  <c:v>2.4000000000000014E-2</c:v>
                </c:pt>
                <c:pt idx="25">
                  <c:v>2.5000000000000015E-2</c:v>
                </c:pt>
                <c:pt idx="26">
                  <c:v>2.6000000000000016E-2</c:v>
                </c:pt>
                <c:pt idx="27">
                  <c:v>2.7000000000000017E-2</c:v>
                </c:pt>
                <c:pt idx="28">
                  <c:v>2.8000000000000018E-2</c:v>
                </c:pt>
                <c:pt idx="29">
                  <c:v>2.9000000000000019E-2</c:v>
                </c:pt>
                <c:pt idx="30">
                  <c:v>3.000000000000002E-2</c:v>
                </c:pt>
              </c:numCache>
            </c:numRef>
          </c:xVal>
          <c:yVal>
            <c:numRef>
              <c:f>ﾌﾟﾛｯﾄﾃﾞｰﾀ!$H$5:$H$35</c:f>
              <c:numCache>
                <c:formatCode>General</c:formatCode>
                <c:ptCount val="31"/>
                <c:pt idx="0">
                  <c:v>373</c:v>
                </c:pt>
                <c:pt idx="1">
                  <c:v>368.55758776609258</c:v>
                </c:pt>
                <c:pt idx="2">
                  <c:v>364.12736879540722</c:v>
                </c:pt>
                <c:pt idx="3">
                  <c:v>359.72153635116598</c:v>
                </c:pt>
                <c:pt idx="4">
                  <c:v>355.35228369659097</c:v>
                </c:pt>
                <c:pt idx="5">
                  <c:v>351.03180409490426</c:v>
                </c:pt>
                <c:pt idx="6">
                  <c:v>346.77229080932784</c:v>
                </c:pt>
                <c:pt idx="7">
                  <c:v>342.58593710308389</c:v>
                </c:pt>
                <c:pt idx="8">
                  <c:v>338.48493623939441</c:v>
                </c:pt>
                <c:pt idx="9">
                  <c:v>334.48148148148147</c:v>
                </c:pt>
                <c:pt idx="10">
                  <c:v>330.58776609256716</c:v>
                </c:pt>
                <c:pt idx="11">
                  <c:v>326.81598333587357</c:v>
                </c:pt>
                <c:pt idx="12">
                  <c:v>323.17832647462274</c:v>
                </c:pt>
                <c:pt idx="13">
                  <c:v>319.68698877203678</c:v>
                </c:pt>
                <c:pt idx="14">
                  <c:v>316.35416349133766</c:v>
                </c:pt>
                <c:pt idx="15">
                  <c:v>313.19204389574759</c:v>
                </c:pt>
                <c:pt idx="16">
                  <c:v>310.21282324848852</c:v>
                </c:pt>
                <c:pt idx="17">
                  <c:v>307.42869481278257</c:v>
                </c:pt>
                <c:pt idx="18">
                  <c:v>304.85185185185185</c:v>
                </c:pt>
                <c:pt idx="19">
                  <c:v>302.49448762891836</c:v>
                </c:pt>
                <c:pt idx="20">
                  <c:v>300.36879540720417</c:v>
                </c:pt>
                <c:pt idx="21">
                  <c:v>298.4869684499314</c:v>
                </c:pt>
                <c:pt idx="22">
                  <c:v>296.86120002032209</c:v>
                </c:pt>
                <c:pt idx="23">
                  <c:v>295.50368338159831</c:v>
                </c:pt>
                <c:pt idx="24">
                  <c:v>294.42661179698217</c:v>
                </c:pt>
                <c:pt idx="25">
                  <c:v>293.64217852969568</c:v>
                </c:pt>
                <c:pt idx="26">
                  <c:v>293.1625768429609</c:v>
                </c:pt>
                <c:pt idx="27">
                  <c:v>293</c:v>
                </c:pt>
                <c:pt idx="28">
                  <c:v>293.16664126403498</c:v>
                </c:pt>
                <c:pt idx="29">
                  <c:v>293.67469389828784</c:v>
                </c:pt>
                <c:pt idx="30">
                  <c:v>294.53635116598082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CAF-40EB-98DC-C5DDDA0AA5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62897199"/>
        <c:axId val="1062809343"/>
      </c:scatterChart>
      <c:valAx>
        <c:axId val="86289719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ja-JP" altLang="ja-JP" sz="1200" b="0" i="0" baseline="0">
                    <a:effectLst/>
                  </a:rPr>
                  <a:t>距離</a:t>
                </a:r>
                <a:r>
                  <a:rPr lang="en-US" altLang="ja-JP" sz="1200" b="0" i="0" baseline="0">
                    <a:effectLst/>
                  </a:rPr>
                  <a:t>[m]  (</a:t>
                </a:r>
                <a:r>
                  <a:rPr lang="ja-JP" altLang="ja-JP" sz="1200" b="0" i="0" baseline="0">
                    <a:effectLst/>
                  </a:rPr>
                  <a:t>平板から垂直に離れる方向</a:t>
                </a:r>
                <a:r>
                  <a:rPr lang="en-US" altLang="ja-JP" sz="1200" b="0" i="0" baseline="0">
                    <a:effectLst/>
                  </a:rPr>
                  <a:t>)</a:t>
                </a:r>
                <a:endParaRPr lang="ja-JP" altLang="ja-JP" sz="1200">
                  <a:effectLst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062809343"/>
        <c:crosses val="autoZero"/>
        <c:crossBetween val="midCat"/>
      </c:valAx>
      <c:valAx>
        <c:axId val="10628093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ja-JP" altLang="en-US"/>
                  <a:t>温度</a:t>
                </a:r>
                <a:r>
                  <a:rPr lang="en-US" altLang="ja-JP"/>
                  <a:t>[</a:t>
                </a:r>
                <a:r>
                  <a:rPr lang="ja-JP" altLang="en-US"/>
                  <a:t>℃</a:t>
                </a:r>
                <a:r>
                  <a:rPr lang="en-US" altLang="ja-JP"/>
                  <a:t>)</a:t>
                </a:r>
                <a:endParaRPr lang="ja-JP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86289719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ja-JP" altLang="en-US"/>
              <a:t>図</a:t>
            </a:r>
            <a:r>
              <a:rPr lang="en-US" altLang="ja-JP"/>
              <a:t>15.26 </a:t>
            </a:r>
            <a:r>
              <a:rPr lang="ja-JP" altLang="en-US"/>
              <a:t>速度分布</a:t>
            </a:r>
          </a:p>
        </c:rich>
      </c:tx>
      <c:layout>
        <c:manualLayout>
          <c:xMode val="edge"/>
          <c:yMode val="edge"/>
          <c:x val="0.31794444444444442"/>
          <c:y val="0.8981481481481481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>
        <c:manualLayout>
          <c:layoutTarget val="inner"/>
          <c:xMode val="edge"/>
          <c:yMode val="edge"/>
          <c:x val="0.14388648293963255"/>
          <c:y val="4.2592592592592605E-2"/>
          <c:w val="0.63796084864391955"/>
          <c:h val="0.61389690871974334"/>
        </c:manualLayout>
      </c:layout>
      <c:scatterChart>
        <c:scatterStyle val="lineMarker"/>
        <c:varyColors val="0"/>
        <c:ser>
          <c:idx val="0"/>
          <c:order val="0"/>
          <c:tx>
            <c:strRef>
              <c:f>ﾌﾟﾛｯﾄﾃﾞｰﾀ!$D$1</c:f>
              <c:strCache>
                <c:ptCount val="1"/>
                <c:pt idx="0">
                  <c:v>SOLIDWORKS解析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ﾌﾟﾛｯﾄﾃﾞｰﾀ!$D$5:$D$15</c:f>
              <c:numCache>
                <c:formatCode>General</c:formatCode>
                <c:ptCount val="11"/>
                <c:pt idx="0">
                  <c:v>1E-3</c:v>
                </c:pt>
                <c:pt idx="1">
                  <c:v>1.6413899691546099E-3</c:v>
                </c:pt>
                <c:pt idx="2">
                  <c:v>2.2827799383092302E-3</c:v>
                </c:pt>
                <c:pt idx="3">
                  <c:v>8.3081067547253595E-3</c:v>
                </c:pt>
                <c:pt idx="4">
                  <c:v>1.13151498446301E-2</c:v>
                </c:pt>
                <c:pt idx="5">
                  <c:v>1.5021375018756101E-2</c:v>
                </c:pt>
                <c:pt idx="6">
                  <c:v>1.9589352473898002E-2</c:v>
                </c:pt>
                <c:pt idx="7">
                  <c:v>2.5219452386973401E-2</c:v>
                </c:pt>
                <c:pt idx="8">
                  <c:v>3.21586339706154E-2</c:v>
                </c:pt>
                <c:pt idx="9">
                  <c:v>5.0500000000000003E-2</c:v>
                </c:pt>
                <c:pt idx="10">
                  <c:v>0.1</c:v>
                </c:pt>
              </c:numCache>
            </c:numRef>
          </c:xVal>
          <c:yVal>
            <c:numRef>
              <c:f>ﾌﾟﾛｯﾄﾃﾞｰﾀ!$E$5:$E$15</c:f>
              <c:numCache>
                <c:formatCode>General</c:formatCode>
                <c:ptCount val="11"/>
                <c:pt idx="0">
                  <c:v>0</c:v>
                </c:pt>
                <c:pt idx="1">
                  <c:v>5.8316201989386703E-3</c:v>
                </c:pt>
                <c:pt idx="2">
                  <c:v>7.89607675182173E-3</c:v>
                </c:pt>
                <c:pt idx="3">
                  <c:v>4.3598252674632E-2</c:v>
                </c:pt>
                <c:pt idx="4">
                  <c:v>6.0606822247324298E-2</c:v>
                </c:pt>
                <c:pt idx="5">
                  <c:v>7.8439154589571097E-2</c:v>
                </c:pt>
                <c:pt idx="6">
                  <c:v>9.2663122511490101E-2</c:v>
                </c:pt>
                <c:pt idx="7">
                  <c:v>9.9350659916599707E-2</c:v>
                </c:pt>
                <c:pt idx="8">
                  <c:v>0.10052437791688799</c:v>
                </c:pt>
                <c:pt idx="9">
                  <c:v>0.10020539630986899</c:v>
                </c:pt>
                <c:pt idx="10">
                  <c:v>0.100007758003037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0B2-47D7-918A-7CF26ABDB7F9}"/>
            </c:ext>
          </c:extLst>
        </c:ser>
        <c:ser>
          <c:idx val="1"/>
          <c:order val="1"/>
          <c:tx>
            <c:strRef>
              <c:f>ﾌﾟﾛｯﾄﾃﾞｰﾀ!$G$1</c:f>
              <c:strCache>
                <c:ptCount val="1"/>
                <c:pt idx="0">
                  <c:v>理論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ﾌﾟﾛｯﾄﾃﾞｰﾀ!$G$5:$G$35</c:f>
              <c:numCache>
                <c:formatCode>General</c:formatCode>
                <c:ptCount val="31"/>
                <c:pt idx="0">
                  <c:v>0</c:v>
                </c:pt>
                <c:pt idx="1">
                  <c:v>1E-3</c:v>
                </c:pt>
                <c:pt idx="2">
                  <c:v>2E-3</c:v>
                </c:pt>
                <c:pt idx="3">
                  <c:v>3.0000000000000001E-3</c:v>
                </c:pt>
                <c:pt idx="4">
                  <c:v>4.0000000000000001E-3</c:v>
                </c:pt>
                <c:pt idx="5">
                  <c:v>5.0000000000000001E-3</c:v>
                </c:pt>
                <c:pt idx="6">
                  <c:v>6.0000000000000001E-3</c:v>
                </c:pt>
                <c:pt idx="7">
                  <c:v>7.0000000000000001E-3</c:v>
                </c:pt>
                <c:pt idx="8">
                  <c:v>8.0000000000000002E-3</c:v>
                </c:pt>
                <c:pt idx="9">
                  <c:v>9.0000000000000011E-3</c:v>
                </c:pt>
                <c:pt idx="10">
                  <c:v>1.0000000000000002E-2</c:v>
                </c:pt>
                <c:pt idx="11">
                  <c:v>1.1000000000000003E-2</c:v>
                </c:pt>
                <c:pt idx="12">
                  <c:v>1.2000000000000004E-2</c:v>
                </c:pt>
                <c:pt idx="13">
                  <c:v>1.3000000000000005E-2</c:v>
                </c:pt>
                <c:pt idx="14">
                  <c:v>1.4000000000000005E-2</c:v>
                </c:pt>
                <c:pt idx="15">
                  <c:v>1.5000000000000006E-2</c:v>
                </c:pt>
                <c:pt idx="16">
                  <c:v>1.6000000000000007E-2</c:v>
                </c:pt>
                <c:pt idx="17">
                  <c:v>1.7000000000000008E-2</c:v>
                </c:pt>
                <c:pt idx="18">
                  <c:v>1.8000000000000009E-2</c:v>
                </c:pt>
                <c:pt idx="19">
                  <c:v>1.900000000000001E-2</c:v>
                </c:pt>
                <c:pt idx="20">
                  <c:v>2.0000000000000011E-2</c:v>
                </c:pt>
                <c:pt idx="21">
                  <c:v>2.1000000000000012E-2</c:v>
                </c:pt>
                <c:pt idx="22">
                  <c:v>2.2000000000000013E-2</c:v>
                </c:pt>
                <c:pt idx="23">
                  <c:v>2.3000000000000013E-2</c:v>
                </c:pt>
                <c:pt idx="24">
                  <c:v>2.4000000000000014E-2</c:v>
                </c:pt>
                <c:pt idx="25">
                  <c:v>2.5000000000000015E-2</c:v>
                </c:pt>
                <c:pt idx="26">
                  <c:v>2.6000000000000016E-2</c:v>
                </c:pt>
                <c:pt idx="27">
                  <c:v>2.7000000000000017E-2</c:v>
                </c:pt>
                <c:pt idx="28">
                  <c:v>2.8000000000000018E-2</c:v>
                </c:pt>
                <c:pt idx="29">
                  <c:v>2.9000000000000019E-2</c:v>
                </c:pt>
                <c:pt idx="30">
                  <c:v>3.000000000000002E-2</c:v>
                </c:pt>
              </c:numCache>
            </c:numRef>
          </c:xVal>
          <c:yVal>
            <c:numRef>
              <c:f>ﾌﾟﾛｯﾄﾃﾞｰﾀ!$I$5:$I$35</c:f>
              <c:numCache>
                <c:formatCode>General</c:formatCode>
                <c:ptCount val="31"/>
                <c:pt idx="0">
                  <c:v>0</c:v>
                </c:pt>
                <c:pt idx="1">
                  <c:v>6.0208576762818119E-3</c:v>
                </c:pt>
                <c:pt idx="2">
                  <c:v>1.202228309700148E-2</c:v>
                </c:pt>
                <c:pt idx="3">
                  <c:v>1.7984844006596865E-2</c:v>
                </c:pt>
                <c:pt idx="4">
                  <c:v>2.3889108149505817E-2</c:v>
                </c:pt>
                <c:pt idx="5">
                  <c:v>2.9715643270166198E-2</c:v>
                </c:pt>
                <c:pt idx="6">
                  <c:v>3.5445017113015863E-2</c:v>
                </c:pt>
                <c:pt idx="7">
                  <c:v>4.1057797422492673E-2</c:v>
                </c:pt>
                <c:pt idx="8">
                  <c:v>4.6534551943034477E-2</c:v>
                </c:pt>
                <c:pt idx="9">
                  <c:v>5.1855848419079142E-2</c:v>
                </c:pt>
                <c:pt idx="10">
                  <c:v>5.7002254595064521E-2</c:v>
                </c:pt>
                <c:pt idx="11">
                  <c:v>6.1954338215428464E-2</c:v>
                </c:pt>
                <c:pt idx="12">
                  <c:v>6.669266702460884E-2</c:v>
                </c:pt>
                <c:pt idx="13">
                  <c:v>7.1197808767043486E-2</c:v>
                </c:pt>
                <c:pt idx="14">
                  <c:v>7.5450331187170275E-2</c:v>
                </c:pt>
                <c:pt idx="15">
                  <c:v>7.9430802029427067E-2</c:v>
                </c:pt>
                <c:pt idx="16">
                  <c:v>8.3119789038251707E-2</c:v>
                </c:pt>
                <c:pt idx="17">
                  <c:v>8.6497859958082068E-2</c:v>
                </c:pt>
                <c:pt idx="18">
                  <c:v>8.9545582533355983E-2</c:v>
                </c:pt>
                <c:pt idx="19">
                  <c:v>9.2243524508511324E-2</c:v>
                </c:pt>
                <c:pt idx="20">
                  <c:v>9.4572253627985964E-2</c:v>
                </c:pt>
                <c:pt idx="21">
                  <c:v>9.6512337636217693E-2</c:v>
                </c:pt>
                <c:pt idx="22">
                  <c:v>9.8044344277644468E-2</c:v>
                </c:pt>
                <c:pt idx="23">
                  <c:v>9.9148841296704052E-2</c:v>
                </c:pt>
                <c:pt idx="24">
                  <c:v>9.9806396437834385E-2</c:v>
                </c:pt>
                <c:pt idx="25">
                  <c:v>9.9997577445473246E-2</c:v>
                </c:pt>
                <c:pt idx="26">
                  <c:v>9.9702952064058561E-2</c:v>
                </c:pt>
                <c:pt idx="27">
                  <c:v>9.8903088038028109E-2</c:v>
                </c:pt>
                <c:pt idx="28">
                  <c:v>9.7578553111819857E-2</c:v>
                </c:pt>
                <c:pt idx="29">
                  <c:v>9.5709915029871556E-2</c:v>
                </c:pt>
                <c:pt idx="30">
                  <c:v>9.3277741536621106E-2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0B2-47D7-918A-7CF26ABDB7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61169727"/>
        <c:axId val="1061357519"/>
      </c:scatterChart>
      <c:valAx>
        <c:axId val="106116972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ja-JP" altLang="en-US"/>
                  <a:t>距離</a:t>
                </a:r>
                <a:r>
                  <a:rPr lang="en-US" altLang="ja-JP"/>
                  <a:t>[m]  (</a:t>
                </a:r>
                <a:r>
                  <a:rPr lang="ja-JP" altLang="en-US"/>
                  <a:t>平板から垂直に離れる方向</a:t>
                </a:r>
                <a:r>
                  <a:rPr lang="en-US" altLang="ja-JP"/>
                  <a:t>)</a:t>
                </a:r>
                <a:endParaRPr lang="ja-JP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061357519"/>
        <c:crosses val="autoZero"/>
        <c:crossBetween val="midCat"/>
      </c:valAx>
      <c:valAx>
        <c:axId val="10613575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ja-JP" altLang="en-US"/>
                  <a:t>速度</a:t>
                </a:r>
                <a:r>
                  <a:rPr lang="en-US" altLang="ja-JP"/>
                  <a:t>[m/s]</a:t>
                </a:r>
                <a:endParaRPr lang="ja-JP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06116972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000-000000000000}">
  <sheetPr/>
  <sheetViews>
    <sheetView zoomScale="55" workbookViewId="0"/>
  </sheetViews>
  <pageMargins left="0.7" right="0.7" top="0.75" bottom="0.75" header="0.3" footer="0.3"/>
  <drawing r:id="rId1"/>
</chartsheet>
</file>

<file path=xl/chartsheets/sheet2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100-000000000000}">
  <sheetPr/>
  <sheetViews>
    <sheetView zoomScale="112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9299864" cy="6061364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9295379" cy="6072187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671512</xdr:colOff>
      <xdr:row>2</xdr:row>
      <xdr:rowOff>33337</xdr:rowOff>
    </xdr:from>
    <xdr:to>
      <xdr:col>19</xdr:col>
      <xdr:colOff>442912</xdr:colOff>
      <xdr:row>18</xdr:row>
      <xdr:rowOff>33337</xdr:rowOff>
    </xdr:to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0003FE47-99AC-4FB1-A543-3FB5B8D34D3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414337</xdr:colOff>
      <xdr:row>21</xdr:row>
      <xdr:rowOff>61912</xdr:rowOff>
    </xdr:from>
    <xdr:to>
      <xdr:col>19</xdr:col>
      <xdr:colOff>185737</xdr:colOff>
      <xdr:row>37</xdr:row>
      <xdr:rowOff>61912</xdr:rowOff>
    </xdr:to>
    <xdr:graphicFrame macro="">
      <xdr:nvGraphicFramePr>
        <xdr:cNvPr id="3" name="グラフ 2">
          <a:extLst>
            <a:ext uri="{FF2B5EF4-FFF2-40B4-BE49-F238E27FC236}">
              <a16:creationId xmlns:a16="http://schemas.microsoft.com/office/drawing/2014/main" id="{1BE4E7A1-92C5-4B32-A292-0E83CEAFB4C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35"/>
  <sheetViews>
    <sheetView tabSelected="1" workbookViewId="0">
      <selection activeCell="L7" sqref="L7"/>
    </sheetView>
  </sheetViews>
  <sheetFormatPr defaultRowHeight="13.5" x14ac:dyDescent="0.15"/>
  <cols>
    <col min="1" max="2" width="12" customWidth="1"/>
    <col min="4" max="5" width="12" customWidth="1"/>
  </cols>
  <sheetData>
    <row r="1" spans="1:9" x14ac:dyDescent="0.15">
      <c r="D1" t="s">
        <v>5</v>
      </c>
      <c r="G1" t="s">
        <v>4</v>
      </c>
    </row>
    <row r="2" spans="1:9" x14ac:dyDescent="0.15">
      <c r="A2" t="s">
        <v>0</v>
      </c>
      <c r="D2" t="s">
        <v>3</v>
      </c>
    </row>
    <row r="4" spans="1:9" x14ac:dyDescent="0.15">
      <c r="A4" t="s">
        <v>1</v>
      </c>
      <c r="B4" t="s">
        <v>2</v>
      </c>
      <c r="D4" t="s">
        <v>1</v>
      </c>
      <c r="E4" t="s">
        <v>2</v>
      </c>
      <c r="G4" t="s">
        <v>1</v>
      </c>
      <c r="H4" t="s">
        <v>6</v>
      </c>
      <c r="I4" t="s">
        <v>7</v>
      </c>
    </row>
    <row r="5" spans="1:9" x14ac:dyDescent="0.15">
      <c r="A5">
        <v>0</v>
      </c>
      <c r="B5">
        <v>373</v>
      </c>
      <c r="D5">
        <v>1E-3</v>
      </c>
      <c r="E5">
        <v>0</v>
      </c>
      <c r="G5">
        <v>0</v>
      </c>
      <c r="H5">
        <f>(1-3/2*(G5/0.027)+1/2*(G5/0.027)^3)*(373-293)+293</f>
        <v>373</v>
      </c>
      <c r="I5">
        <f>(3/2*(G5/0.0249)-1/2*(G5/0.0249)^3)*0.1</f>
        <v>0</v>
      </c>
    </row>
    <row r="6" spans="1:9" x14ac:dyDescent="0.15">
      <c r="A6">
        <v>2.5000000000000001E-4</v>
      </c>
      <c r="B6">
        <v>373</v>
      </c>
      <c r="D6">
        <v>1.6413899691546099E-3</v>
      </c>
      <c r="E6">
        <v>5.8316201989386703E-3</v>
      </c>
      <c r="G6">
        <f>0.001+G5</f>
        <v>1E-3</v>
      </c>
      <c r="H6">
        <f t="shared" ref="H6:H35" si="0">(1-3/2*(G6/0.027)+1/2*(G6/0.027)^3)*(373-293)+293</f>
        <v>368.55758776609258</v>
      </c>
      <c r="I6">
        <f t="shared" ref="I6:I35" si="1">(3/2*(G6/0.0249)-1/2*(G6/0.0249)^3)*0.1</f>
        <v>6.0208576762818119E-3</v>
      </c>
    </row>
    <row r="7" spans="1:9" x14ac:dyDescent="0.15">
      <c r="A7">
        <v>5.0000000000000001E-4</v>
      </c>
      <c r="B7">
        <v>373</v>
      </c>
      <c r="D7">
        <v>2.2827799383092302E-3</v>
      </c>
      <c r="E7">
        <v>7.89607675182173E-3</v>
      </c>
      <c r="G7">
        <f t="shared" ref="G7:G35" si="2">0.001+G6</f>
        <v>2E-3</v>
      </c>
      <c r="H7">
        <f t="shared" si="0"/>
        <v>364.12736879540722</v>
      </c>
      <c r="I7">
        <f t="shared" si="1"/>
        <v>1.202228309700148E-2</v>
      </c>
    </row>
    <row r="8" spans="1:9" x14ac:dyDescent="0.15">
      <c r="A8">
        <v>9.7970002383345996E-4</v>
      </c>
      <c r="B8">
        <v>373</v>
      </c>
      <c r="D8">
        <v>8.3081067547253595E-3</v>
      </c>
      <c r="E8">
        <v>4.3598252674632E-2</v>
      </c>
      <c r="G8">
        <f t="shared" si="2"/>
        <v>3.0000000000000001E-3</v>
      </c>
      <c r="H8">
        <f t="shared" si="0"/>
        <v>359.72153635116598</v>
      </c>
      <c r="I8">
        <f t="shared" si="1"/>
        <v>1.7984844006596865E-2</v>
      </c>
    </row>
    <row r="9" spans="1:9" x14ac:dyDescent="0.15">
      <c r="A9">
        <v>1E-3</v>
      </c>
      <c r="B9">
        <v>373</v>
      </c>
      <c r="D9">
        <v>1.13151498446301E-2</v>
      </c>
      <c r="E9">
        <v>6.0606822247324298E-2</v>
      </c>
      <c r="G9">
        <f t="shared" si="2"/>
        <v>4.0000000000000001E-3</v>
      </c>
      <c r="H9">
        <f t="shared" si="0"/>
        <v>355.35228369659097</v>
      </c>
      <c r="I9">
        <f t="shared" si="1"/>
        <v>2.3889108149505817E-2</v>
      </c>
    </row>
    <row r="10" spans="1:9" x14ac:dyDescent="0.15">
      <c r="A10">
        <v>1.6413899691546099E-3</v>
      </c>
      <c r="B10">
        <v>368.775459546739</v>
      </c>
      <c r="D10">
        <v>1.5021375018756101E-2</v>
      </c>
      <c r="E10">
        <v>7.8439154589571097E-2</v>
      </c>
      <c r="G10">
        <f t="shared" si="2"/>
        <v>5.0000000000000001E-3</v>
      </c>
      <c r="H10">
        <f t="shared" si="0"/>
        <v>351.03180409490426</v>
      </c>
      <c r="I10">
        <f t="shared" si="1"/>
        <v>2.9715643270166198E-2</v>
      </c>
    </row>
    <row r="11" spans="1:9" x14ac:dyDescent="0.15">
      <c r="A11">
        <v>2.2827799383092302E-3</v>
      </c>
      <c r="B11">
        <v>367.30694530808199</v>
      </c>
      <c r="D11">
        <v>1.9589352473898002E-2</v>
      </c>
      <c r="E11">
        <v>9.2663122511490101E-2</v>
      </c>
      <c r="G11">
        <f t="shared" si="2"/>
        <v>6.0000000000000001E-3</v>
      </c>
      <c r="H11">
        <f t="shared" si="0"/>
        <v>346.77229080932784</v>
      </c>
      <c r="I11">
        <f t="shared" si="1"/>
        <v>3.5445017113015863E-2</v>
      </c>
    </row>
    <row r="12" spans="1:9" x14ac:dyDescent="0.15">
      <c r="A12">
        <v>8.9095153727063101E-3</v>
      </c>
      <c r="B12">
        <v>339.48103383840902</v>
      </c>
      <c r="D12">
        <v>2.5219452386973401E-2</v>
      </c>
      <c r="E12">
        <v>9.9350659916599707E-2</v>
      </c>
      <c r="G12">
        <f t="shared" si="2"/>
        <v>7.0000000000000001E-3</v>
      </c>
      <c r="H12">
        <f t="shared" si="0"/>
        <v>342.58593710308389</v>
      </c>
      <c r="I12">
        <f t="shared" si="1"/>
        <v>4.1057797422492673E-2</v>
      </c>
    </row>
    <row r="13" spans="1:9" x14ac:dyDescent="0.15">
      <c r="A13">
        <v>1.13151498446301E-2</v>
      </c>
      <c r="B13">
        <v>329.66570643683502</v>
      </c>
      <c r="D13">
        <v>3.21586339706154E-2</v>
      </c>
      <c r="E13">
        <v>0.10052437791688799</v>
      </c>
      <c r="G13">
        <f t="shared" si="2"/>
        <v>8.0000000000000002E-3</v>
      </c>
      <c r="H13">
        <f t="shared" si="0"/>
        <v>338.48493623939441</v>
      </c>
      <c r="I13">
        <f t="shared" si="1"/>
        <v>4.6534551943034477E-2</v>
      </c>
    </row>
    <row r="14" spans="1:9" x14ac:dyDescent="0.15">
      <c r="A14">
        <v>1.5021375018756101E-2</v>
      </c>
      <c r="B14">
        <v>316.112608964706</v>
      </c>
      <c r="D14">
        <v>5.0500000000000003E-2</v>
      </c>
      <c r="E14">
        <v>0.10020539630986899</v>
      </c>
      <c r="G14">
        <f t="shared" si="2"/>
        <v>9.0000000000000011E-3</v>
      </c>
      <c r="H14">
        <f t="shared" si="0"/>
        <v>334.48148148148147</v>
      </c>
      <c r="I14">
        <f t="shared" si="1"/>
        <v>5.1855848419079142E-2</v>
      </c>
    </row>
    <row r="15" spans="1:9" x14ac:dyDescent="0.15">
      <c r="A15">
        <v>1.9589352473898002E-2</v>
      </c>
      <c r="B15">
        <v>303.77981428471099</v>
      </c>
      <c r="D15">
        <v>0.1</v>
      </c>
      <c r="E15">
        <v>0.100007758003037</v>
      </c>
      <c r="G15">
        <f t="shared" si="2"/>
        <v>1.0000000000000002E-2</v>
      </c>
      <c r="H15">
        <f t="shared" si="0"/>
        <v>330.58776609256716</v>
      </c>
      <c r="I15">
        <f t="shared" si="1"/>
        <v>5.7002254595064521E-2</v>
      </c>
    </row>
    <row r="16" spans="1:9" x14ac:dyDescent="0.15">
      <c r="A16">
        <v>2.5219452386973401E-2</v>
      </c>
      <c r="B16">
        <v>296.17924704038899</v>
      </c>
      <c r="G16">
        <f t="shared" si="2"/>
        <v>1.1000000000000003E-2</v>
      </c>
      <c r="H16">
        <f t="shared" si="0"/>
        <v>326.81598333587357</v>
      </c>
      <c r="I16">
        <f t="shared" si="1"/>
        <v>6.1954338215428464E-2</v>
      </c>
    </row>
    <row r="17" spans="1:9" x14ac:dyDescent="0.15">
      <c r="A17">
        <v>3.21586339706154E-2</v>
      </c>
      <c r="B17">
        <v>293.62273368346098</v>
      </c>
      <c r="G17">
        <f t="shared" si="2"/>
        <v>1.2000000000000004E-2</v>
      </c>
      <c r="H17">
        <f t="shared" si="0"/>
        <v>323.17832647462274</v>
      </c>
      <c r="I17">
        <f t="shared" si="1"/>
        <v>6.669266702460884E-2</v>
      </c>
    </row>
    <row r="18" spans="1:9" x14ac:dyDescent="0.15">
      <c r="A18">
        <v>4.2669022491558101E-2</v>
      </c>
      <c r="B18">
        <v>293.22802637688699</v>
      </c>
      <c r="G18">
        <f t="shared" si="2"/>
        <v>1.3000000000000005E-2</v>
      </c>
      <c r="H18">
        <f t="shared" si="0"/>
        <v>319.68698877203678</v>
      </c>
      <c r="I18">
        <f t="shared" si="1"/>
        <v>7.1197808767043486E-2</v>
      </c>
    </row>
    <row r="19" spans="1:9" x14ac:dyDescent="0.15">
      <c r="A19">
        <v>5.0500000000000003E-2</v>
      </c>
      <c r="B19">
        <v>293.20390745516897</v>
      </c>
      <c r="G19">
        <f t="shared" si="2"/>
        <v>1.4000000000000005E-2</v>
      </c>
      <c r="H19">
        <f t="shared" si="0"/>
        <v>316.35416349133766</v>
      </c>
      <c r="I19">
        <f t="shared" si="1"/>
        <v>7.5450331187170275E-2</v>
      </c>
    </row>
    <row r="20" spans="1:9" x14ac:dyDescent="0.15">
      <c r="A20">
        <v>0.1</v>
      </c>
      <c r="B20">
        <v>293.20000001304902</v>
      </c>
      <c r="G20">
        <f t="shared" si="2"/>
        <v>1.5000000000000006E-2</v>
      </c>
      <c r="H20">
        <f t="shared" si="0"/>
        <v>313.19204389574759</v>
      </c>
      <c r="I20">
        <f t="shared" si="1"/>
        <v>7.9430802029427067E-2</v>
      </c>
    </row>
    <row r="21" spans="1:9" x14ac:dyDescent="0.15">
      <c r="G21">
        <f t="shared" si="2"/>
        <v>1.6000000000000007E-2</v>
      </c>
      <c r="H21">
        <f t="shared" si="0"/>
        <v>310.21282324848852</v>
      </c>
      <c r="I21">
        <f t="shared" si="1"/>
        <v>8.3119789038251707E-2</v>
      </c>
    </row>
    <row r="22" spans="1:9" x14ac:dyDescent="0.15">
      <c r="G22">
        <f t="shared" si="2"/>
        <v>1.7000000000000008E-2</v>
      </c>
      <c r="H22">
        <f t="shared" si="0"/>
        <v>307.42869481278257</v>
      </c>
      <c r="I22">
        <f t="shared" si="1"/>
        <v>8.6497859958082068E-2</v>
      </c>
    </row>
    <row r="23" spans="1:9" x14ac:dyDescent="0.15">
      <c r="G23">
        <f t="shared" si="2"/>
        <v>1.8000000000000009E-2</v>
      </c>
      <c r="H23">
        <f t="shared" si="0"/>
        <v>304.85185185185185</v>
      </c>
      <c r="I23">
        <f t="shared" si="1"/>
        <v>8.9545582533355983E-2</v>
      </c>
    </row>
    <row r="24" spans="1:9" x14ac:dyDescent="0.15">
      <c r="G24">
        <f t="shared" si="2"/>
        <v>1.900000000000001E-2</v>
      </c>
      <c r="H24">
        <f t="shared" si="0"/>
        <v>302.49448762891836</v>
      </c>
      <c r="I24">
        <f t="shared" si="1"/>
        <v>9.2243524508511324E-2</v>
      </c>
    </row>
    <row r="25" spans="1:9" x14ac:dyDescent="0.15">
      <c r="G25">
        <f t="shared" si="2"/>
        <v>2.0000000000000011E-2</v>
      </c>
      <c r="H25">
        <f t="shared" si="0"/>
        <v>300.36879540720417</v>
      </c>
      <c r="I25">
        <f t="shared" si="1"/>
        <v>9.4572253627985964E-2</v>
      </c>
    </row>
    <row r="26" spans="1:9" x14ac:dyDescent="0.15">
      <c r="G26">
        <f t="shared" si="2"/>
        <v>2.1000000000000012E-2</v>
      </c>
      <c r="H26">
        <f t="shared" si="0"/>
        <v>298.4869684499314</v>
      </c>
      <c r="I26">
        <f t="shared" si="1"/>
        <v>9.6512337636217693E-2</v>
      </c>
    </row>
    <row r="27" spans="1:9" x14ac:dyDescent="0.15">
      <c r="G27">
        <f t="shared" si="2"/>
        <v>2.2000000000000013E-2</v>
      </c>
      <c r="H27">
        <f t="shared" si="0"/>
        <v>296.86120002032209</v>
      </c>
      <c r="I27">
        <f t="shared" si="1"/>
        <v>9.8044344277644468E-2</v>
      </c>
    </row>
    <row r="28" spans="1:9" x14ac:dyDescent="0.15">
      <c r="G28">
        <f t="shared" si="2"/>
        <v>2.3000000000000013E-2</v>
      </c>
      <c r="H28">
        <f t="shared" si="0"/>
        <v>295.50368338159831</v>
      </c>
      <c r="I28">
        <f t="shared" si="1"/>
        <v>9.9148841296704052E-2</v>
      </c>
    </row>
    <row r="29" spans="1:9" x14ac:dyDescent="0.15">
      <c r="G29">
        <f t="shared" si="2"/>
        <v>2.4000000000000014E-2</v>
      </c>
      <c r="H29">
        <f t="shared" si="0"/>
        <v>294.42661179698217</v>
      </c>
      <c r="I29">
        <f t="shared" si="1"/>
        <v>9.9806396437834385E-2</v>
      </c>
    </row>
    <row r="30" spans="1:9" x14ac:dyDescent="0.15">
      <c r="G30">
        <f t="shared" si="2"/>
        <v>2.5000000000000015E-2</v>
      </c>
      <c r="H30">
        <f t="shared" si="0"/>
        <v>293.64217852969568</v>
      </c>
      <c r="I30">
        <f t="shared" si="1"/>
        <v>9.9997577445473246E-2</v>
      </c>
    </row>
    <row r="31" spans="1:9" x14ac:dyDescent="0.15">
      <c r="G31">
        <f t="shared" si="2"/>
        <v>2.6000000000000016E-2</v>
      </c>
      <c r="H31">
        <f t="shared" si="0"/>
        <v>293.1625768429609</v>
      </c>
      <c r="I31">
        <f t="shared" si="1"/>
        <v>9.9702952064058561E-2</v>
      </c>
    </row>
    <row r="32" spans="1:9" x14ac:dyDescent="0.15">
      <c r="G32">
        <f t="shared" si="2"/>
        <v>2.7000000000000017E-2</v>
      </c>
      <c r="H32">
        <f t="shared" si="0"/>
        <v>293</v>
      </c>
      <c r="I32">
        <f t="shared" si="1"/>
        <v>9.8903088038028109E-2</v>
      </c>
    </row>
    <row r="33" spans="7:9" x14ac:dyDescent="0.15">
      <c r="G33">
        <f t="shared" si="2"/>
        <v>2.8000000000000018E-2</v>
      </c>
      <c r="H33">
        <f t="shared" si="0"/>
        <v>293.16664126403498</v>
      </c>
      <c r="I33">
        <f t="shared" si="1"/>
        <v>9.7578553111819857E-2</v>
      </c>
    </row>
    <row r="34" spans="7:9" x14ac:dyDescent="0.15">
      <c r="G34">
        <f t="shared" si="2"/>
        <v>2.9000000000000019E-2</v>
      </c>
      <c r="H34">
        <f t="shared" si="0"/>
        <v>293.67469389828784</v>
      </c>
      <c r="I34">
        <f t="shared" si="1"/>
        <v>9.5709915029871556E-2</v>
      </c>
    </row>
    <row r="35" spans="7:9" x14ac:dyDescent="0.15">
      <c r="G35">
        <f t="shared" si="2"/>
        <v>3.000000000000002E-2</v>
      </c>
      <c r="H35">
        <f t="shared" si="0"/>
        <v>294.53635116598082</v>
      </c>
      <c r="I35">
        <f t="shared" si="1"/>
        <v>9.3277741536621106E-2</v>
      </c>
    </row>
  </sheetData>
  <phoneticPr fontId="1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グラフ</vt:lpstr>
      </vt:variant>
      <vt:variant>
        <vt:i4>2</vt:i4>
      </vt:variant>
    </vt:vector>
  </HeadingPairs>
  <TitlesOfParts>
    <vt:vector size="3" baseType="lpstr">
      <vt:lpstr>ﾌﾟﾛｯﾄﾃﾞｰﾀ</vt:lpstr>
      <vt:lpstr>速度</vt:lpstr>
      <vt:lpstr>温度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author</dc:creator>
  <cp:lastModifiedBy>篠原　主勲</cp:lastModifiedBy>
  <dcterms:created xsi:type="dcterms:W3CDTF">2012-01-01T00:00:00Z</dcterms:created>
  <dcterms:modified xsi:type="dcterms:W3CDTF">2026-09-22T02:30:10Z</dcterms:modified>
</cp:coreProperties>
</file>