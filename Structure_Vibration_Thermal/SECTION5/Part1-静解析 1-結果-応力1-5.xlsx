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5\"/>
    </mc:Choice>
  </mc:AlternateContent>
  <xr:revisionPtr revIDLastSave="0" documentId="13_ncr:1_{8A8BFC21-7B59-45DE-8739-F68932B93CEC}" xr6:coauthVersionLast="36" xr6:coauthVersionMax="36" xr10:uidLastSave="{00000000-0000-0000-0000-000000000000}"/>
  <bookViews>
    <workbookView xWindow="32760" yWindow="32760" windowWidth="28800" windowHeight="12135" xr2:uid="{00000000-000D-0000-FFFF-FFFF00000000}"/>
  </bookViews>
  <sheets>
    <sheet name="Part1-静解析 1-結果-応力1-5" sheetId="1" r:id="rId1"/>
  </sheets>
  <calcPr calcId="191029"/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</calcChain>
</file>

<file path=xl/sharedStrings.xml><?xml version="1.0" encoding="utf-8"?>
<sst xmlns="http://schemas.openxmlformats.org/spreadsheetml/2006/main" count="13" uniqueCount="13">
  <si>
    <t>日付：  14:21</t>
  </si>
  <si>
    <t xml:space="preserve"> 水曜日</t>
  </si>
  <si>
    <t xml:space="preserve"> 4月 27</t>
  </si>
  <si>
    <t>ﾓﾃﾞﾙ名:Part1</t>
  </si>
  <si>
    <t>ｽﾀﾃﾞｨ名:静解析 1(-ﾃﾞﾌｫﾙﾄ-)</t>
  </si>
  <si>
    <t>表示ﾀｲﾌﾟ: 静解析 節点応力 応力1</t>
  </si>
  <si>
    <t xml:space="preserve">結果ﾀｲﾌﾟ : SX </t>
  </si>
  <si>
    <t xml:space="preserve">位置  </t>
  </si>
  <si>
    <t xml:space="preserve">値 (N/m^2)  </t>
  </si>
  <si>
    <t xml:space="preserve">X (m)  </t>
  </si>
  <si>
    <t xml:space="preserve">Y (m)  </t>
  </si>
  <si>
    <t>Z (m)</t>
  </si>
  <si>
    <t>理論による曲げ応力</t>
    <rPh sb="0" eb="2">
      <t>リロン</t>
    </rPh>
    <rPh sb="5" eb="6">
      <t>マ</t>
    </rPh>
    <rPh sb="7" eb="9">
      <t>オウリョク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</si>
</sst>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sz val="11"/>
      <color rgb="FF9C5700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5.36 SOLIDWORKS</a:t>
            </a:r>
            <a:r>
              <a:rPr lang="ja-JP" altLang="en-US"/>
              <a:t>解析と理論による曲げ応力</a:t>
            </a:r>
            <a:r>
              <a:rPr lang="en-US" altLang="ja-JP"/>
              <a:t>(</a:t>
            </a:r>
            <a:r>
              <a:rPr lang="ja-JP" altLang="en-US"/>
              <a:t>梁の中心</a:t>
            </a:r>
            <a:r>
              <a:rPr lang="en-US" altLang="ja-JP"/>
              <a:t>)</a:t>
            </a:r>
            <a:endParaRPr lang="ja-JP" altLang="en-US"/>
          </a:p>
        </c:rich>
      </c:tx>
      <c:layout>
        <c:manualLayout>
          <c:xMode val="edge"/>
          <c:yMode val="edge"/>
          <c:x val="0.38057103268182851"/>
          <c:y val="0.882539682539682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368026966172372"/>
          <c:y val="1.7436570428696414E-2"/>
          <c:w val="0.81138321542294523"/>
          <c:h val="0.764555430571178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'Part1-静解析 1-結果-応力1-5'!$D$8</c:f>
              <c:strCache>
                <c:ptCount val="1"/>
                <c:pt idx="0">
                  <c:v>Y (m)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1-結果-応力1-5'!$D$9:$D$16</c:f>
              <c:numCache>
                <c:formatCode>General</c:formatCode>
                <c:ptCount val="8"/>
                <c:pt idx="0">
                  <c:v>4.6799689999999998E-2</c:v>
                </c:pt>
                <c:pt idx="1">
                  <c:v>3.4798009999999997E-2</c:v>
                </c:pt>
                <c:pt idx="2">
                  <c:v>2.0001419999999999E-2</c:v>
                </c:pt>
                <c:pt idx="3">
                  <c:v>6.6844799999999996E-3</c:v>
                </c:pt>
                <c:pt idx="4">
                  <c:v>-8.1121100000000005E-3</c:v>
                </c:pt>
                <c:pt idx="5">
                  <c:v>-2.3237520000000001E-2</c:v>
                </c:pt>
                <c:pt idx="6">
                  <c:v>-3.3430729999999999E-2</c:v>
                </c:pt>
                <c:pt idx="7">
                  <c:v>-4.3459530000000003E-2</c:v>
                </c:pt>
              </c:numCache>
            </c:numRef>
          </c:xVal>
          <c:yVal>
            <c:numRef>
              <c:f>'Part1-静解析 1-結果-応力1-5'!$B$9:$B$16</c:f>
              <c:numCache>
                <c:formatCode>0.00E+00</c:formatCode>
                <c:ptCount val="8"/>
                <c:pt idx="0">
                  <c:v>8093</c:v>
                </c:pt>
                <c:pt idx="1">
                  <c:v>5882</c:v>
                </c:pt>
                <c:pt idx="2">
                  <c:v>3391</c:v>
                </c:pt>
                <c:pt idx="3">
                  <c:v>1269</c:v>
                </c:pt>
                <c:pt idx="4">
                  <c:v>-1030</c:v>
                </c:pt>
                <c:pt idx="5">
                  <c:v>-3393</c:v>
                </c:pt>
                <c:pt idx="6">
                  <c:v>-5060</c:v>
                </c:pt>
                <c:pt idx="7">
                  <c:v>-7503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BE-46AB-A36B-3452C6B6F4AA}"/>
            </c:ext>
          </c:extLst>
        </c:ser>
        <c:ser>
          <c:idx val="1"/>
          <c:order val="1"/>
          <c:tx>
            <c:strRef>
              <c:f>'Part1-静解析 1-結果-応力1-5'!$F$8</c:f>
              <c:strCache>
                <c:ptCount val="1"/>
                <c:pt idx="0">
                  <c:v>理論による曲げ応力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1-結果-応力1-5'!$D$9:$D$16</c:f>
              <c:numCache>
                <c:formatCode>General</c:formatCode>
                <c:ptCount val="8"/>
                <c:pt idx="0">
                  <c:v>4.6799689999999998E-2</c:v>
                </c:pt>
                <c:pt idx="1">
                  <c:v>3.4798009999999997E-2</c:v>
                </c:pt>
                <c:pt idx="2">
                  <c:v>2.0001419999999999E-2</c:v>
                </c:pt>
                <c:pt idx="3">
                  <c:v>6.6844799999999996E-3</c:v>
                </c:pt>
                <c:pt idx="4">
                  <c:v>-8.1121100000000005E-3</c:v>
                </c:pt>
                <c:pt idx="5">
                  <c:v>-2.3237520000000001E-2</c:v>
                </c:pt>
                <c:pt idx="6">
                  <c:v>-3.3430729999999999E-2</c:v>
                </c:pt>
                <c:pt idx="7">
                  <c:v>-4.3459530000000003E-2</c:v>
                </c:pt>
              </c:numCache>
            </c:numRef>
          </c:xVal>
          <c:yVal>
            <c:numRef>
              <c:f>'Part1-静解析 1-結果-応力1-5'!$F$9:$F$16</c:f>
              <c:numCache>
                <c:formatCode>General</c:formatCode>
                <c:ptCount val="8"/>
                <c:pt idx="0">
                  <c:v>8423.9441999999999</c:v>
                </c:pt>
                <c:pt idx="1">
                  <c:v>6263.6417999999994</c:v>
                </c:pt>
                <c:pt idx="2">
                  <c:v>3600.2556</c:v>
                </c:pt>
                <c:pt idx="3">
                  <c:v>1203.2064</c:v>
                </c:pt>
                <c:pt idx="4">
                  <c:v>-1460.1798000000001</c:v>
                </c:pt>
                <c:pt idx="5">
                  <c:v>-4182.7536</c:v>
                </c:pt>
                <c:pt idx="6">
                  <c:v>-6017.5313999999998</c:v>
                </c:pt>
                <c:pt idx="7">
                  <c:v>-7822.715400000001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BE-46AB-A36B-3452C6B6F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52512"/>
        <c:axId val="1"/>
      </c:scatterChart>
      <c:valAx>
        <c:axId val="67885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座標 </a:t>
                </a:r>
                <a:r>
                  <a:rPr lang="en-US" altLang="ja-JP"/>
                  <a:t>y[m]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21994484192014"/>
              <c:y val="0.820087239095113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游ゴシック"/>
                <a:ea typeface="游ゴシック"/>
                <a:cs typeface="游ゴシック"/>
              </a:defRPr>
            </a:pPr>
            <a:endParaRPr lang="ja-JP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曲げ応力</a:t>
                </a:r>
                <a:r>
                  <a:rPr lang="en-US" altLang="ja-JP"/>
                  <a:t>σ (Pa)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6.9373942470389166E-2"/>
              <c:y val="0.36161904761904762"/>
            </c:manualLayout>
          </c:layout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885251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9525</xdr:rowOff>
    </xdr:from>
    <xdr:to>
      <xdr:col>19</xdr:col>
      <xdr:colOff>619125</xdr:colOff>
      <xdr:row>18</xdr:row>
      <xdr:rowOff>200025</xdr:rowOff>
    </xdr:to>
    <xdr:graphicFrame macro="">
      <xdr:nvGraphicFramePr>
        <xdr:cNvPr id="1025" name="グラフ 1">
          <a:extLst>
            <a:ext uri="{FF2B5EF4-FFF2-40B4-BE49-F238E27FC236}">
              <a16:creationId xmlns:a16="http://schemas.microsoft.com/office/drawing/2014/main" id="{E4A09BA2-A59F-46AD-8741-87D96FDD6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15" zoomScaleNormal="115" workbookViewId="0">
      <selection activeCell="H12" sqref="H12"/>
    </sheetView>
  </sheetViews>
  <sheetFormatPr defaultRowHeight="18.75" x14ac:dyDescent="0.4"/>
  <cols>
    <col min="2" max="2" width="15.125" customWidth="1"/>
  </cols>
  <sheetData>
    <row r="1" spans="1:6" x14ac:dyDescent="0.4">
      <c r="A1" t="s">
        <v>0</v>
      </c>
      <c r="B1" t="s">
        <v>1</v>
      </c>
      <c r="C1" t="s">
        <v>2</v>
      </c>
      <c r="D1">
        <v>2022</v>
      </c>
    </row>
    <row r="2" spans="1:6" x14ac:dyDescent="0.4">
      <c r="A2" t="s">
        <v>3</v>
      </c>
    </row>
    <row r="3" spans="1:6" x14ac:dyDescent="0.4">
      <c r="A3" t="s">
        <v>4</v>
      </c>
    </row>
    <row r="4" spans="1:6" x14ac:dyDescent="0.4">
      <c r="A4" t="s">
        <v>5</v>
      </c>
    </row>
    <row r="5" spans="1:6" x14ac:dyDescent="0.4">
      <c r="A5" t="s">
        <v>6</v>
      </c>
    </row>
    <row r="8" spans="1:6" x14ac:dyDescent="0.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4">
      <c r="A9">
        <v>1</v>
      </c>
      <c r="B9" s="1">
        <v>8093</v>
      </c>
      <c r="C9">
        <v>0.30000000999999998</v>
      </c>
      <c r="D9">
        <v>4.6799689999999998E-2</v>
      </c>
      <c r="E9">
        <v>4.9285900000000001E-3</v>
      </c>
      <c r="F9">
        <f>(180000)*D9</f>
        <v>8423.9441999999999</v>
      </c>
    </row>
    <row r="10" spans="1:6" x14ac:dyDescent="0.4">
      <c r="A10">
        <v>2</v>
      </c>
      <c r="B10" s="1">
        <v>5882</v>
      </c>
      <c r="C10">
        <v>0.30000000999999998</v>
      </c>
      <c r="D10">
        <v>3.4798009999999997E-2</v>
      </c>
      <c r="E10">
        <v>4.2709599999999999E-3</v>
      </c>
      <c r="F10">
        <f t="shared" ref="F10:F16" si="0">(180000)*D10</f>
        <v>6263.6417999999994</v>
      </c>
    </row>
    <row r="11" spans="1:6" x14ac:dyDescent="0.4">
      <c r="A11">
        <v>3</v>
      </c>
      <c r="B11" s="1">
        <v>3391</v>
      </c>
      <c r="C11">
        <v>0.30000000999999998</v>
      </c>
      <c r="D11">
        <v>2.0001419999999999E-2</v>
      </c>
      <c r="E11">
        <v>4.9285900000000001E-3</v>
      </c>
      <c r="F11">
        <f t="shared" si="0"/>
        <v>3600.2556</v>
      </c>
    </row>
    <row r="12" spans="1:6" x14ac:dyDescent="0.4">
      <c r="A12">
        <v>4</v>
      </c>
      <c r="B12" s="1">
        <v>1269</v>
      </c>
      <c r="C12">
        <v>0.30000000999999998</v>
      </c>
      <c r="D12">
        <v>6.6844799999999996E-3</v>
      </c>
      <c r="E12">
        <v>5.9150299999999999E-3</v>
      </c>
      <c r="F12">
        <f t="shared" si="0"/>
        <v>1203.2064</v>
      </c>
    </row>
    <row r="13" spans="1:6" x14ac:dyDescent="0.4">
      <c r="A13">
        <v>5</v>
      </c>
      <c r="B13" s="1">
        <v>-1030</v>
      </c>
      <c r="C13">
        <v>0.30000000999999998</v>
      </c>
      <c r="D13">
        <v>-8.1121100000000005E-3</v>
      </c>
      <c r="E13">
        <v>4.2709599999999999E-3</v>
      </c>
      <c r="F13">
        <f t="shared" si="0"/>
        <v>-1460.1798000000001</v>
      </c>
    </row>
    <row r="14" spans="1:6" x14ac:dyDescent="0.4">
      <c r="A14">
        <v>6</v>
      </c>
      <c r="B14" s="1">
        <v>-3393</v>
      </c>
      <c r="C14">
        <v>0.30000000999999998</v>
      </c>
      <c r="D14">
        <v>-2.3237520000000001E-2</v>
      </c>
      <c r="E14">
        <v>5.5862100000000003E-3</v>
      </c>
      <c r="F14">
        <f t="shared" si="0"/>
        <v>-4182.7536</v>
      </c>
    </row>
    <row r="15" spans="1:6" x14ac:dyDescent="0.4">
      <c r="A15">
        <v>7</v>
      </c>
      <c r="B15" s="1">
        <v>-5060</v>
      </c>
      <c r="C15">
        <v>0.30000000999999998</v>
      </c>
      <c r="D15">
        <v>-3.3430729999999999E-2</v>
      </c>
      <c r="E15">
        <v>5.5862100000000003E-3</v>
      </c>
      <c r="F15">
        <f t="shared" si="0"/>
        <v>-6017.5313999999998</v>
      </c>
    </row>
    <row r="16" spans="1:6" x14ac:dyDescent="0.4">
      <c r="A16">
        <v>8</v>
      </c>
      <c r="B16" s="1">
        <v>-7503</v>
      </c>
      <c r="C16">
        <v>0.30000000999999998</v>
      </c>
      <c r="D16">
        <v>-4.3459530000000003E-2</v>
      </c>
      <c r="E16">
        <v>5.42181E-3</v>
      </c>
      <c r="F16">
        <f t="shared" si="0"/>
        <v>-7822.715400000001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Part1-静解析 1-結果-応力1-5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2026-09-20T05:02:27Z</dcterms:created>
  <dcterms:modified xsi:type="dcterms:W3CDTF">2026-09-20T05:06:31Z</dcterms:modified>
</cp:coreProperties>
</file>