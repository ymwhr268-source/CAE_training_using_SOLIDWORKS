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5\"/>
    </mc:Choice>
  </mc:AlternateContent>
  <xr:revisionPtr revIDLastSave="0" documentId="13_ncr:1_{4F05E3BE-E7F5-4970-81C0-281449FD9163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Part1-静解析 1-結果-変位1-2" sheetId="1" r:id="rId1"/>
  </sheets>
  <calcPr calcId="191029"/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9" i="1"/>
</calcChain>
</file>

<file path=xl/sharedStrings.xml><?xml version="1.0" encoding="utf-8"?>
<sst xmlns="http://schemas.openxmlformats.org/spreadsheetml/2006/main" count="14" uniqueCount="14">
  <si>
    <t>日付：  13:48</t>
  </si>
  <si>
    <t xml:space="preserve"> 水曜日</t>
  </si>
  <si>
    <t xml:space="preserve"> 4月 27</t>
  </si>
  <si>
    <t>ﾓﾃﾞﾙ名:Part1</t>
  </si>
  <si>
    <t>ｽﾀﾃﾞｨ名:静解析 1(-ﾃﾞﾌｫﾙﾄ-)</t>
  </si>
  <si>
    <t>表示ﾀｲﾌﾟ: 変位 変位1</t>
  </si>
  <si>
    <t xml:space="preserve">結果ﾀｲﾌﾟ : UY </t>
  </si>
  <si>
    <t xml:space="preserve">節点  </t>
  </si>
  <si>
    <t xml:space="preserve">値 (m)  </t>
  </si>
  <si>
    <t xml:space="preserve">X (m)  </t>
  </si>
  <si>
    <t xml:space="preserve">Y (m)  </t>
  </si>
  <si>
    <t>Z (m)</t>
  </si>
  <si>
    <t>梁のたわみ量　式(5.5)</t>
    <rPh sb="0" eb="1">
      <t>ハリ</t>
    </rPh>
    <rPh sb="5" eb="6">
      <t>リョウ</t>
    </rPh>
    <rPh sb="7" eb="8">
      <t>シキ</t>
    </rPh>
    <phoneticPr fontId="18"/>
  </si>
  <si>
    <t>梁のたわみ量　式(5.6)</t>
    <rPh sb="0" eb="1">
      <t>ハリ</t>
    </rPh>
    <rPh sb="5" eb="6">
      <t>リョウ</t>
    </rPh>
    <rPh sb="7" eb="8">
      <t>シキ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</si>
</sst>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図</a:t>
            </a:r>
            <a:r>
              <a:rPr lang="en-US" altLang="ja-JP" sz="1800" b="0" i="0" baseline="0">
                <a:effectLst/>
              </a:rPr>
              <a:t>5.35 SOLIDWORKS</a:t>
            </a:r>
            <a:r>
              <a:rPr lang="ja-JP" altLang="ja-JP" sz="1800" b="0" i="0" baseline="0">
                <a:effectLst/>
              </a:rPr>
              <a:t>解析と理論による</a:t>
            </a:r>
            <a:r>
              <a:rPr lang="ja-JP" altLang="en-US" sz="1800" b="0" i="0" baseline="0">
                <a:effectLst/>
              </a:rPr>
              <a:t>梁のたわみ</a:t>
            </a:r>
            <a:endParaRPr lang="ja-JP" altLang="ja-JP">
              <a:effectLst/>
            </a:endParaRPr>
          </a:p>
        </c:rich>
      </c:tx>
      <c:layout>
        <c:manualLayout>
          <c:xMode val="edge"/>
          <c:yMode val="edge"/>
          <c:x val="0.11267017427510706"/>
          <c:y val="0.885094371671960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8372534202282124E-2"/>
          <c:y val="4.3030954661350616E-2"/>
          <c:w val="0.79172694192052162"/>
          <c:h val="0.76990392299138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'Part1-静解析 1-結果-変位1-2'!$B$8</c:f>
              <c:strCache>
                <c:ptCount val="1"/>
                <c:pt idx="0">
                  <c:v>値 (m) 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'Part1-静解析 1-結果-変位1-2'!$C$9:$C$24</c:f>
              <c:numCache>
                <c:formatCode>General</c:formatCode>
                <c:ptCount val="16"/>
                <c:pt idx="0">
                  <c:v>-3.6071260000000001E-2</c:v>
                </c:pt>
                <c:pt idx="1">
                  <c:v>-4.30175E-3</c:v>
                </c:pt>
                <c:pt idx="2">
                  <c:v>3.7011719999999998E-2</c:v>
                </c:pt>
                <c:pt idx="3">
                  <c:v>7.3960479999999995E-2</c:v>
                </c:pt>
                <c:pt idx="4">
                  <c:v>0.11525618</c:v>
                </c:pt>
                <c:pt idx="5">
                  <c:v>0.14133766</c:v>
                </c:pt>
                <c:pt idx="6">
                  <c:v>0.18698024999999999</c:v>
                </c:pt>
                <c:pt idx="7">
                  <c:v>0.23044940999999999</c:v>
                </c:pt>
                <c:pt idx="8">
                  <c:v>0.27391856999999997</c:v>
                </c:pt>
                <c:pt idx="9">
                  <c:v>0.32173455000000001</c:v>
                </c:pt>
                <c:pt idx="10">
                  <c:v>0.38259134</c:v>
                </c:pt>
                <c:pt idx="11">
                  <c:v>0.44127470000000002</c:v>
                </c:pt>
                <c:pt idx="12">
                  <c:v>0.46735618000000001</c:v>
                </c:pt>
                <c:pt idx="13">
                  <c:v>0.53690678000000003</c:v>
                </c:pt>
                <c:pt idx="14">
                  <c:v>0.58689630000000004</c:v>
                </c:pt>
                <c:pt idx="15">
                  <c:v>0.63148146999999999</c:v>
                </c:pt>
              </c:numCache>
            </c:numRef>
          </c:xVal>
          <c:yVal>
            <c:numRef>
              <c:f>'Part1-静解析 1-結果-変位1-2'!$B$9:$B$24</c:f>
              <c:numCache>
                <c:formatCode>0.00E+00</c:formatCode>
                <c:ptCount val="16"/>
                <c:pt idx="0">
                  <c:v>-4.598E-9</c:v>
                </c:pt>
                <c:pt idx="1">
                  <c:v>-4.4639999999999998E-10</c:v>
                </c:pt>
                <c:pt idx="2">
                  <c:v>5.0810000000000001E-9</c:v>
                </c:pt>
                <c:pt idx="3">
                  <c:v>9.9100000000000007E-9</c:v>
                </c:pt>
                <c:pt idx="4">
                  <c:v>1.496E-8</c:v>
                </c:pt>
                <c:pt idx="5">
                  <c:v>1.7879999999999999E-8</c:v>
                </c:pt>
                <c:pt idx="6">
                  <c:v>2.2280000000000002E-8</c:v>
                </c:pt>
                <c:pt idx="7">
                  <c:v>2.545E-8</c:v>
                </c:pt>
                <c:pt idx="8">
                  <c:v>2.7360000000000001E-8</c:v>
                </c:pt>
                <c:pt idx="9">
                  <c:v>2.747E-8</c:v>
                </c:pt>
                <c:pt idx="10">
                  <c:v>2.4620000000000001E-8</c:v>
                </c:pt>
                <c:pt idx="11">
                  <c:v>1.9659999999999999E-8</c:v>
                </c:pt>
                <c:pt idx="12">
                  <c:v>1.693E-8</c:v>
                </c:pt>
                <c:pt idx="13">
                  <c:v>8.5139999999999993E-9</c:v>
                </c:pt>
                <c:pt idx="14">
                  <c:v>1.8789999999999998E-9</c:v>
                </c:pt>
                <c:pt idx="15">
                  <c:v>-4.0059999999999996E-9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B0-48BF-819E-CA67E8808C9F}"/>
            </c:ext>
          </c:extLst>
        </c:ser>
        <c:ser>
          <c:idx val="1"/>
          <c:order val="1"/>
          <c:tx>
            <c:strRef>
              <c:f>'Part1-静解析 1-結果-変位1-2'!$F$8</c:f>
              <c:strCache>
                <c:ptCount val="1"/>
                <c:pt idx="0">
                  <c:v>梁のたわみ量　式(5.5)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'Part1-静解析 1-結果-変位1-2'!$C$9:$C$24</c:f>
              <c:numCache>
                <c:formatCode>General</c:formatCode>
                <c:ptCount val="16"/>
                <c:pt idx="0">
                  <c:v>-3.6071260000000001E-2</c:v>
                </c:pt>
                <c:pt idx="1">
                  <c:v>-4.30175E-3</c:v>
                </c:pt>
                <c:pt idx="2">
                  <c:v>3.7011719999999998E-2</c:v>
                </c:pt>
                <c:pt idx="3">
                  <c:v>7.3960479999999995E-2</c:v>
                </c:pt>
                <c:pt idx="4">
                  <c:v>0.11525618</c:v>
                </c:pt>
                <c:pt idx="5">
                  <c:v>0.14133766</c:v>
                </c:pt>
                <c:pt idx="6">
                  <c:v>0.18698024999999999</c:v>
                </c:pt>
                <c:pt idx="7">
                  <c:v>0.23044940999999999</c:v>
                </c:pt>
                <c:pt idx="8">
                  <c:v>0.27391856999999997</c:v>
                </c:pt>
                <c:pt idx="9">
                  <c:v>0.32173455000000001</c:v>
                </c:pt>
                <c:pt idx="10">
                  <c:v>0.38259134</c:v>
                </c:pt>
                <c:pt idx="11">
                  <c:v>0.44127470000000002</c:v>
                </c:pt>
                <c:pt idx="12">
                  <c:v>0.46735618000000001</c:v>
                </c:pt>
                <c:pt idx="13">
                  <c:v>0.53690678000000003</c:v>
                </c:pt>
                <c:pt idx="14">
                  <c:v>0.58689630000000004</c:v>
                </c:pt>
                <c:pt idx="15">
                  <c:v>0.63148146999999999</c:v>
                </c:pt>
              </c:numCache>
            </c:numRef>
          </c:xVal>
          <c:yVal>
            <c:numRef>
              <c:f>'Part1-静解析 1-結果-変位1-2'!$F$9:$F$24</c:f>
              <c:numCache>
                <c:formatCode>General</c:formatCode>
                <c:ptCount val="16"/>
                <c:pt idx="0">
                  <c:v>-4.6135379379516891E-9</c:v>
                </c:pt>
                <c:pt idx="1">
                  <c:v>-5.5282301844268254E-10</c:v>
                </c:pt>
                <c:pt idx="2">
                  <c:v>4.7326125073387255E-9</c:v>
                </c:pt>
                <c:pt idx="3">
                  <c:v>9.3128231362381973E-9</c:v>
                </c:pt>
                <c:pt idx="4">
                  <c:v>1.4083938931981432E-8</c:v>
                </c:pt>
                <c:pt idx="5">
                  <c:v>1.6820773701967682E-8</c:v>
                </c:pt>
                <c:pt idx="6">
                  <c:v>2.0919027228549936E-8</c:v>
                </c:pt>
                <c:pt idx="7">
                  <c:v>2.3791850824490198E-8</c:v>
                </c:pt>
                <c:pt idx="8">
                  <c:v>2.5421029788628109E-8</c:v>
                </c:pt>
                <c:pt idx="9">
                  <c:v>2.5496740653183958E-8</c:v>
                </c:pt>
                <c:pt idx="10">
                  <c:v>2.2513572282724141E-8</c:v>
                </c:pt>
                <c:pt idx="11">
                  <c:v>1.5811613944252691E-8</c:v>
                </c:pt>
                <c:pt idx="12">
                  <c:v>1.1474166115057502E-8</c:v>
                </c:pt>
                <c:pt idx="13">
                  <c:v>-4.6689369751139769E-9</c:v>
                </c:pt>
                <c:pt idx="14">
                  <c:v>-2.0797784947630887E-8</c:v>
                </c:pt>
                <c:pt idx="15">
                  <c:v>-3.8706007003813152E-8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B0-48BF-819E-CA67E8808C9F}"/>
            </c:ext>
          </c:extLst>
        </c:ser>
        <c:ser>
          <c:idx val="2"/>
          <c:order val="2"/>
          <c:tx>
            <c:strRef>
              <c:f>'Part1-静解析 1-結果-変位1-2'!$G$8</c:f>
              <c:strCache>
                <c:ptCount val="1"/>
                <c:pt idx="0">
                  <c:v>梁のたわみ量　式(5.6)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'Part1-静解析 1-結果-変位1-2'!$C$9:$C$24</c:f>
              <c:numCache>
                <c:formatCode>General</c:formatCode>
                <c:ptCount val="16"/>
                <c:pt idx="0">
                  <c:v>-3.6071260000000001E-2</c:v>
                </c:pt>
                <c:pt idx="1">
                  <c:v>-4.30175E-3</c:v>
                </c:pt>
                <c:pt idx="2">
                  <c:v>3.7011719999999998E-2</c:v>
                </c:pt>
                <c:pt idx="3">
                  <c:v>7.3960479999999995E-2</c:v>
                </c:pt>
                <c:pt idx="4">
                  <c:v>0.11525618</c:v>
                </c:pt>
                <c:pt idx="5">
                  <c:v>0.14133766</c:v>
                </c:pt>
                <c:pt idx="6">
                  <c:v>0.18698024999999999</c:v>
                </c:pt>
                <c:pt idx="7">
                  <c:v>0.23044940999999999</c:v>
                </c:pt>
                <c:pt idx="8">
                  <c:v>0.27391856999999997</c:v>
                </c:pt>
                <c:pt idx="9">
                  <c:v>0.32173455000000001</c:v>
                </c:pt>
                <c:pt idx="10">
                  <c:v>0.38259134</c:v>
                </c:pt>
                <c:pt idx="11">
                  <c:v>0.44127470000000002</c:v>
                </c:pt>
                <c:pt idx="12">
                  <c:v>0.46735618000000001</c:v>
                </c:pt>
                <c:pt idx="13">
                  <c:v>0.53690678000000003</c:v>
                </c:pt>
                <c:pt idx="14">
                  <c:v>0.58689630000000004</c:v>
                </c:pt>
                <c:pt idx="15">
                  <c:v>0.63148146999999999</c:v>
                </c:pt>
              </c:numCache>
            </c:numRef>
          </c:xVal>
          <c:yVal>
            <c:numRef>
              <c:f>'Part1-静解析 1-結果-変位1-2'!$G$9:$G$24</c:f>
              <c:numCache>
                <c:formatCode>General</c:formatCode>
                <c:ptCount val="16"/>
                <c:pt idx="0">
                  <c:v>-4.0748788554564079E-8</c:v>
                </c:pt>
                <c:pt idx="1">
                  <c:v>-2.7378475751021258E-8</c:v>
                </c:pt>
                <c:pt idx="2">
                  <c:v>-1.2583329892931391E-8</c:v>
                </c:pt>
                <c:pt idx="3">
                  <c:v>-1.6820463270864844E-9</c:v>
                </c:pt>
                <c:pt idx="4">
                  <c:v>8.0812379966633216E-9</c:v>
                </c:pt>
                <c:pt idx="5">
                  <c:v>1.3018367464584988E-8</c:v>
                </c:pt>
                <c:pt idx="6">
                  <c:v>1.9544668910444511E-8</c:v>
                </c:pt>
                <c:pt idx="7">
                  <c:v>2.3471563756492351E-8</c:v>
                </c:pt>
                <c:pt idx="8">
                  <c:v>2.5404139730415977E-8</c:v>
                </c:pt>
                <c:pt idx="9">
                  <c:v>2.5506515026155741E-8</c:v>
                </c:pt>
                <c:pt idx="10">
                  <c:v>2.3049912650517237E-8</c:v>
                </c:pt>
                <c:pt idx="11">
                  <c:v>1.8495908246822197E-8</c:v>
                </c:pt>
                <c:pt idx="12">
                  <c:v>1.5936501529686454E-8</c:v>
                </c:pt>
                <c:pt idx="13">
                  <c:v>7.9891891342530449E-9</c:v>
                </c:pt>
                <c:pt idx="14">
                  <c:v>1.6830165257092829E-9</c:v>
                </c:pt>
                <c:pt idx="15">
                  <c:v>-4.0311469682264479E-9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B0-48BF-819E-CA67E8808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02767"/>
        <c:axId val="1814205471"/>
      </c:scatterChart>
      <c:valAx>
        <c:axId val="173430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梁の長手方向 </a:t>
                </a:r>
                <a:r>
                  <a:rPr lang="en-US" altLang="ja-JP"/>
                  <a:t>x[m]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4205471"/>
        <c:crosses val="autoZero"/>
        <c:crossBetween val="midCat"/>
      </c:valAx>
      <c:valAx>
        <c:axId val="181420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梁のたわみ量 </a:t>
                </a:r>
                <a:r>
                  <a:rPr lang="en-US" altLang="ja-JP"/>
                  <a:t>y[m]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430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368176</xdr:colOff>
      <xdr:row>4</xdr:row>
      <xdr:rowOff>76200</xdr:rowOff>
    </xdr:from>
    <xdr:to>
      <xdr:col>18</xdr:col>
      <xdr:colOff>457200</xdr:colOff>
      <xdr:row>23</xdr:row>
      <xdr:rowOff>14287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D67D4E0-BEAF-4D17-BE0C-124934099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85" zoomScaleNormal="85" workbookViewId="0">
      <selection activeCell="G5" sqref="G5"/>
    </sheetView>
  </sheetViews>
  <sheetFormatPr defaultRowHeight="18.75" x14ac:dyDescent="0.4"/>
  <cols>
    <col min="6" max="6" width="23.25" customWidth="1"/>
    <col min="7" max="7" width="37.25" customWidth="1"/>
  </cols>
  <sheetData>
    <row r="1" spans="1:7" x14ac:dyDescent="0.4">
      <c r="A1" t="s">
        <v>0</v>
      </c>
      <c r="B1" t="s">
        <v>1</v>
      </c>
      <c r="C1" t="s">
        <v>2</v>
      </c>
      <c r="D1">
        <v>2022</v>
      </c>
    </row>
    <row r="2" spans="1:7" x14ac:dyDescent="0.4">
      <c r="A2" t="s">
        <v>3</v>
      </c>
    </row>
    <row r="3" spans="1:7" x14ac:dyDescent="0.4">
      <c r="A3" t="s">
        <v>4</v>
      </c>
    </row>
    <row r="4" spans="1:7" x14ac:dyDescent="0.4">
      <c r="A4" t="s">
        <v>5</v>
      </c>
    </row>
    <row r="5" spans="1:7" x14ac:dyDescent="0.4">
      <c r="A5" t="s">
        <v>6</v>
      </c>
    </row>
    <row r="8" spans="1:7" x14ac:dyDescent="0.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4">
      <c r="A9">
        <v>2096</v>
      </c>
      <c r="B9" s="1">
        <v>-4.598E-9</v>
      </c>
      <c r="C9">
        <v>-3.6071260000000001E-2</v>
      </c>
      <c r="D9">
        <v>-1.84362E-3</v>
      </c>
      <c r="E9">
        <v>0</v>
      </c>
      <c r="F9">
        <f>(0.000000476)*(-C9^3+3/4*0.6^2*C9)</f>
        <v>-4.6135379379516891E-9</v>
      </c>
      <c r="G9">
        <f>(0.000000476)*(-C9^3+3/4*0.6^2*C9+2*(C9-0.6/2)^3)</f>
        <v>-4.0748788554564079E-8</v>
      </c>
    </row>
    <row r="10" spans="1:7" x14ac:dyDescent="0.4">
      <c r="A10">
        <v>81484</v>
      </c>
      <c r="B10" s="1">
        <v>-4.4639999999999998E-10</v>
      </c>
      <c r="C10">
        <v>-4.30175E-3</v>
      </c>
      <c r="D10">
        <v>-2.76743E-3</v>
      </c>
      <c r="E10">
        <v>0</v>
      </c>
      <c r="F10">
        <f t="shared" ref="F10:F24" si="0">(0.000000476)*(-C10^3+3/4*0.6^2*C10)</f>
        <v>-5.5282301844268254E-10</v>
      </c>
      <c r="G10">
        <f t="shared" ref="G10:G24" si="1">(0.000000476)*(-C10^3+3/4*0.6^2*C10+2*(C10-0.6/2)^3)</f>
        <v>-2.7378475751021258E-8</v>
      </c>
    </row>
    <row r="11" spans="1:7" x14ac:dyDescent="0.4">
      <c r="A11">
        <v>82843</v>
      </c>
      <c r="B11" s="1">
        <v>5.0810000000000001E-9</v>
      </c>
      <c r="C11">
        <v>3.7011719999999998E-2</v>
      </c>
      <c r="D11">
        <v>-4.3478199999999996E-3</v>
      </c>
      <c r="E11">
        <v>0</v>
      </c>
      <c r="F11">
        <f t="shared" si="0"/>
        <v>4.7326125073387255E-9</v>
      </c>
      <c r="G11">
        <f t="shared" si="1"/>
        <v>-1.2583329892931391E-8</v>
      </c>
    </row>
    <row r="12" spans="1:7" x14ac:dyDescent="0.4">
      <c r="A12">
        <v>84206</v>
      </c>
      <c r="B12" s="1">
        <v>9.9100000000000007E-9</v>
      </c>
      <c r="C12">
        <v>7.3960479999999995E-2</v>
      </c>
      <c r="D12">
        <v>-8.6956499999999992E-3</v>
      </c>
      <c r="E12">
        <v>0</v>
      </c>
      <c r="F12">
        <f t="shared" si="0"/>
        <v>9.3128231362381973E-9</v>
      </c>
      <c r="G12">
        <f t="shared" si="1"/>
        <v>-1.6820463270864844E-9</v>
      </c>
    </row>
    <row r="13" spans="1:7" x14ac:dyDescent="0.4">
      <c r="A13">
        <v>85577</v>
      </c>
      <c r="B13" s="1">
        <v>1.496E-8</v>
      </c>
      <c r="C13">
        <v>0.11525618</v>
      </c>
      <c r="D13">
        <v>-8.6956499999999992E-3</v>
      </c>
      <c r="E13">
        <v>0</v>
      </c>
      <c r="F13">
        <f t="shared" si="0"/>
        <v>1.4083938931981432E-8</v>
      </c>
      <c r="G13">
        <f t="shared" si="1"/>
        <v>8.0812379966633216E-9</v>
      </c>
    </row>
    <row r="14" spans="1:7" x14ac:dyDescent="0.4">
      <c r="A14">
        <v>534</v>
      </c>
      <c r="B14" s="1">
        <v>1.7879999999999999E-8</v>
      </c>
      <c r="C14">
        <v>0.14133766</v>
      </c>
      <c r="D14">
        <v>2.1739200000000002E-3</v>
      </c>
      <c r="E14">
        <v>0</v>
      </c>
      <c r="F14">
        <f t="shared" si="0"/>
        <v>1.6820773701967682E-8</v>
      </c>
      <c r="G14">
        <f t="shared" si="1"/>
        <v>1.3018367464584988E-8</v>
      </c>
    </row>
    <row r="15" spans="1:7" x14ac:dyDescent="0.4">
      <c r="A15">
        <v>89560</v>
      </c>
      <c r="B15" s="1">
        <v>2.2280000000000002E-8</v>
      </c>
      <c r="C15">
        <v>0.18698024999999999</v>
      </c>
      <c r="D15">
        <v>0</v>
      </c>
      <c r="E15">
        <v>0</v>
      </c>
      <c r="F15">
        <f t="shared" si="0"/>
        <v>2.0919027228549936E-8</v>
      </c>
      <c r="G15">
        <f t="shared" si="1"/>
        <v>1.9544668910444511E-8</v>
      </c>
    </row>
    <row r="16" spans="1:7" x14ac:dyDescent="0.4">
      <c r="A16">
        <v>88060</v>
      </c>
      <c r="B16" s="1">
        <v>2.545E-8</v>
      </c>
      <c r="C16">
        <v>0.23044940999999999</v>
      </c>
      <c r="D16">
        <v>-4.3478199999999996E-3</v>
      </c>
      <c r="E16">
        <v>0</v>
      </c>
      <c r="F16">
        <f t="shared" si="0"/>
        <v>2.3791850824490198E-8</v>
      </c>
      <c r="G16">
        <f t="shared" si="1"/>
        <v>2.3471563756492351E-8</v>
      </c>
    </row>
    <row r="17" spans="1:7" x14ac:dyDescent="0.4">
      <c r="A17">
        <v>86563</v>
      </c>
      <c r="B17" s="1">
        <v>2.7360000000000001E-8</v>
      </c>
      <c r="C17">
        <v>0.27391856999999997</v>
      </c>
      <c r="D17">
        <v>0</v>
      </c>
      <c r="E17">
        <v>0</v>
      </c>
      <c r="F17">
        <f t="shared" si="0"/>
        <v>2.5421029788628109E-8</v>
      </c>
      <c r="G17">
        <f t="shared" si="1"/>
        <v>2.5404139730415977E-8</v>
      </c>
    </row>
    <row r="18" spans="1:7" x14ac:dyDescent="0.4">
      <c r="A18">
        <v>42711</v>
      </c>
      <c r="B18" s="1">
        <v>2.747E-8</v>
      </c>
      <c r="C18">
        <v>0.32173455000000001</v>
      </c>
      <c r="D18">
        <v>0</v>
      </c>
      <c r="E18">
        <v>0</v>
      </c>
      <c r="F18">
        <f t="shared" si="0"/>
        <v>2.5496740653183958E-8</v>
      </c>
      <c r="G18">
        <f t="shared" si="1"/>
        <v>2.5506515026155741E-8</v>
      </c>
    </row>
    <row r="19" spans="1:7" x14ac:dyDescent="0.4">
      <c r="A19">
        <v>44802</v>
      </c>
      <c r="B19" s="1">
        <v>2.4620000000000001E-8</v>
      </c>
      <c r="C19">
        <v>0.38259134</v>
      </c>
      <c r="D19">
        <v>-4.3478199999999996E-3</v>
      </c>
      <c r="E19">
        <v>0</v>
      </c>
      <c r="F19">
        <f t="shared" si="0"/>
        <v>2.2513572282724141E-8</v>
      </c>
      <c r="G19">
        <f t="shared" si="1"/>
        <v>2.3049912650517237E-8</v>
      </c>
    </row>
    <row r="20" spans="1:7" x14ac:dyDescent="0.4">
      <c r="A20">
        <v>46754</v>
      </c>
      <c r="B20" s="1">
        <v>1.9659999999999999E-8</v>
      </c>
      <c r="C20">
        <v>0.44127470000000002</v>
      </c>
      <c r="D20">
        <v>-8.6956499999999992E-3</v>
      </c>
      <c r="E20">
        <v>0</v>
      </c>
      <c r="F20">
        <f t="shared" si="0"/>
        <v>1.5811613944252691E-8</v>
      </c>
      <c r="G20">
        <f t="shared" si="1"/>
        <v>1.8495908246822197E-8</v>
      </c>
    </row>
    <row r="21" spans="1:7" x14ac:dyDescent="0.4">
      <c r="A21">
        <v>47649</v>
      </c>
      <c r="B21" s="1">
        <v>1.693E-8</v>
      </c>
      <c r="C21">
        <v>0.46735618000000001</v>
      </c>
      <c r="D21">
        <v>-4.3478199999999996E-3</v>
      </c>
      <c r="E21">
        <v>0</v>
      </c>
      <c r="F21">
        <f t="shared" si="0"/>
        <v>1.1474166115057502E-8</v>
      </c>
      <c r="G21">
        <f t="shared" si="1"/>
        <v>1.5936501529686454E-8</v>
      </c>
    </row>
    <row r="22" spans="1:7" x14ac:dyDescent="0.4">
      <c r="A22">
        <v>51282</v>
      </c>
      <c r="B22" s="1">
        <v>8.5139999999999993E-9</v>
      </c>
      <c r="C22">
        <v>0.53690678000000003</v>
      </c>
      <c r="D22">
        <v>-4.3478199999999996E-3</v>
      </c>
      <c r="E22">
        <v>0</v>
      </c>
      <c r="F22">
        <f t="shared" si="0"/>
        <v>-4.6689369751139769E-9</v>
      </c>
      <c r="G22">
        <f t="shared" si="1"/>
        <v>7.9891891342530449E-9</v>
      </c>
    </row>
    <row r="23" spans="1:7" x14ac:dyDescent="0.4">
      <c r="A23">
        <v>49635</v>
      </c>
      <c r="B23" s="1">
        <v>1.8789999999999998E-9</v>
      </c>
      <c r="C23">
        <v>0.58689630000000004</v>
      </c>
      <c r="D23">
        <v>-9.9999999999999995E-8</v>
      </c>
      <c r="E23">
        <v>0</v>
      </c>
      <c r="F23">
        <f t="shared" si="0"/>
        <v>-2.0797784947630887E-8</v>
      </c>
      <c r="G23">
        <f t="shared" si="1"/>
        <v>1.6830165257092829E-9</v>
      </c>
    </row>
    <row r="24" spans="1:7" x14ac:dyDescent="0.4">
      <c r="A24">
        <v>6937</v>
      </c>
      <c r="B24" s="1">
        <v>-4.0059999999999996E-9</v>
      </c>
      <c r="C24">
        <v>0.63148146999999999</v>
      </c>
      <c r="D24">
        <v>2.9038800000000002E-3</v>
      </c>
      <c r="E24">
        <v>0</v>
      </c>
      <c r="F24">
        <f t="shared" si="0"/>
        <v>-3.8706007003813152E-8</v>
      </c>
      <c r="G24">
        <f t="shared" si="1"/>
        <v>-4.0311469682264479E-9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Part1-静解析 1-結果-変位1-2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2022-04-27T05:16:47Z</dcterms:created>
  <dcterms:modified xsi:type="dcterms:W3CDTF">2026-09-20T05:36:03Z</dcterms:modified>
</cp:coreProperties>
</file>