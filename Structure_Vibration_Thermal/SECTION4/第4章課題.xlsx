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mwhr268\Desktop\section4\"/>
    </mc:Choice>
  </mc:AlternateContent>
  <xr:revisionPtr revIDLastSave="0" documentId="13_ncr:1_{8B3C81AE-0F39-4E2B-93DD-D20A67395A57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1" l="1"/>
  <c r="J8" i="1"/>
  <c r="J6" i="1"/>
  <c r="I8" i="1"/>
  <c r="M8" i="1" s="1"/>
  <c r="I7" i="1"/>
  <c r="M7" i="1" s="1"/>
  <c r="I6" i="1"/>
  <c r="M6" i="1" s="1"/>
  <c r="H8" i="1" l="1"/>
  <c r="H6" i="1"/>
  <c r="H7" i="1"/>
  <c r="L7" i="1" s="1"/>
  <c r="L6" i="1"/>
  <c r="L8" i="1"/>
  <c r="D10" i="1"/>
  <c r="C10" i="1" s="1"/>
  <c r="D9" i="1"/>
  <c r="C9" i="1"/>
  <c r="D8" i="1"/>
  <c r="C8" i="1"/>
  <c r="D7" i="1"/>
  <c r="C7" i="1"/>
  <c r="D6" i="1"/>
  <c r="C6" i="1" s="1"/>
  <c r="D5" i="1"/>
  <c r="C5" i="1" s="1"/>
</calcChain>
</file>

<file path=xl/sharedStrings.xml><?xml version="1.0" encoding="utf-8"?>
<sst xmlns="http://schemas.openxmlformats.org/spreadsheetml/2006/main" count="22" uniqueCount="16">
  <si>
    <t>力{N}</t>
    <rPh sb="0" eb="1">
      <t>チカラ</t>
    </rPh>
    <phoneticPr fontId="1"/>
  </si>
  <si>
    <t>応力{Pa]</t>
    <rPh sb="0" eb="2">
      <t>オウリョク</t>
    </rPh>
    <phoneticPr fontId="1"/>
  </si>
  <si>
    <t>ひずみ</t>
    <phoneticPr fontId="1"/>
  </si>
  <si>
    <t>変位[m]</t>
    <rPh sb="0" eb="2">
      <t>ヘンイ</t>
    </rPh>
    <phoneticPr fontId="1"/>
  </si>
  <si>
    <t xml:space="preserve">表4.3  </t>
    <rPh sb="0" eb="1">
      <t>ヒョウ</t>
    </rPh>
    <phoneticPr fontId="1"/>
  </si>
  <si>
    <t>入力値</t>
    <rPh sb="0" eb="3">
      <t>ニュウリョクチ</t>
    </rPh>
    <phoneticPr fontId="1"/>
  </si>
  <si>
    <t>理論値</t>
    <rPh sb="0" eb="3">
      <t>リロンチ</t>
    </rPh>
    <phoneticPr fontId="1"/>
  </si>
  <si>
    <t>解析値</t>
    <rPh sb="0" eb="2">
      <t>カイセキ</t>
    </rPh>
    <rPh sb="2" eb="3">
      <t>チ</t>
    </rPh>
    <phoneticPr fontId="1"/>
  </si>
  <si>
    <t>誤差</t>
    <rPh sb="0" eb="2">
      <t>ゴサ</t>
    </rPh>
    <phoneticPr fontId="1"/>
  </si>
  <si>
    <t>ひずみ</t>
    <phoneticPr fontId="1"/>
  </si>
  <si>
    <t>表3.3</t>
    <rPh sb="0" eb="1">
      <t>ヒョウ</t>
    </rPh>
    <phoneticPr fontId="1"/>
  </si>
  <si>
    <t>応力[Pa}</t>
    <rPh sb="0" eb="2">
      <t>オウリョク</t>
    </rPh>
    <phoneticPr fontId="1"/>
  </si>
  <si>
    <t>非線形</t>
    <rPh sb="0" eb="3">
      <t>ヒセンケイ</t>
    </rPh>
    <phoneticPr fontId="1"/>
  </si>
  <si>
    <t>線形</t>
    <rPh sb="0" eb="2">
      <t>センケイ</t>
    </rPh>
    <phoneticPr fontId="1"/>
  </si>
  <si>
    <t>第4章データ</t>
    <rPh sb="0" eb="1">
      <t>ダイ</t>
    </rPh>
    <rPh sb="2" eb="3">
      <t>ショウ</t>
    </rPh>
    <phoneticPr fontId="1"/>
  </si>
  <si>
    <t>第3章データ</t>
    <rPh sb="0" eb="1">
      <t>ダイ</t>
    </rPh>
    <rPh sb="2" eb="3">
      <t>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</si>
</sst>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図</a:t>
            </a:r>
            <a:r>
              <a:rPr lang="en-US" altLang="ja-JP"/>
              <a:t>4.16 </a:t>
            </a:r>
            <a:r>
              <a:rPr lang="ja-JP" altLang="en-US"/>
              <a:t>応力</a:t>
            </a:r>
            <a:r>
              <a:rPr lang="en-US" altLang="ja-JP"/>
              <a:t>-</a:t>
            </a:r>
            <a:r>
              <a:rPr lang="ja-JP" altLang="en-US"/>
              <a:t>ひずみ線図</a:t>
            </a:r>
          </a:p>
        </c:rich>
      </c:tx>
      <c:layout>
        <c:manualLayout>
          <c:xMode val="edge"/>
          <c:yMode val="edge"/>
          <c:x val="0.25888571624667595"/>
          <c:y val="0.879425336390685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146022116851759"/>
          <c:y val="6.4063039963693308E-2"/>
          <c:w val="0.79284096492384393"/>
          <c:h val="0.5921681596434508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非線形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Sheet1!$C$4:$C$10</c:f>
              <c:numCache>
                <c:formatCode>0.00E+00</c:formatCode>
                <c:ptCount val="7"/>
                <c:pt idx="0" formatCode="General">
                  <c:v>0</c:v>
                </c:pt>
                <c:pt idx="1">
                  <c:v>1.8405E-4</c:v>
                </c:pt>
                <c:pt idx="2">
                  <c:v>1.0819999999999998E-3</c:v>
                </c:pt>
                <c:pt idx="3">
                  <c:v>2.0230000000000001E-3</c:v>
                </c:pt>
                <c:pt idx="4">
                  <c:v>1.397E-2</c:v>
                </c:pt>
                <c:pt idx="5">
                  <c:v>2.2875E-2</c:v>
                </c:pt>
                <c:pt idx="6">
                  <c:v>0.14995</c:v>
                </c:pt>
              </c:numCache>
            </c:numRef>
          </c:xVal>
          <c:yVal>
            <c:numRef>
              <c:f>Sheet1!$B$4:$B$10</c:f>
              <c:numCache>
                <c:formatCode>0.00E+00</c:formatCode>
                <c:ptCount val="7"/>
                <c:pt idx="0" formatCode="General">
                  <c:v>0</c:v>
                </c:pt>
                <c:pt idx="1">
                  <c:v>12730000</c:v>
                </c:pt>
                <c:pt idx="2">
                  <c:v>70090000</c:v>
                </c:pt>
                <c:pt idx="3">
                  <c:v>84320000</c:v>
                </c:pt>
                <c:pt idx="4">
                  <c:v>116700000</c:v>
                </c:pt>
                <c:pt idx="5">
                  <c:v>126800000</c:v>
                </c:pt>
                <c:pt idx="6">
                  <c:v>152900000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38-4347-B7E8-A490F79190D0}"/>
            </c:ext>
          </c:extLst>
        </c:ser>
        <c:ser>
          <c:idx val="1"/>
          <c:order val="1"/>
          <c:tx>
            <c:strRef>
              <c:f>Sheet1!$H$2</c:f>
              <c:strCache>
                <c:ptCount val="1"/>
                <c:pt idx="0">
                  <c:v>線形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Sheet1!$H$5:$H$8</c:f>
              <c:numCache>
                <c:formatCode>General</c:formatCode>
                <c:ptCount val="4"/>
                <c:pt idx="0">
                  <c:v>0</c:v>
                </c:pt>
                <c:pt idx="1">
                  <c:v>1.8189136353359465E-3</c:v>
                </c:pt>
                <c:pt idx="2">
                  <c:v>3.637827270671893E-3</c:v>
                </c:pt>
                <c:pt idx="3">
                  <c:v>5.4567409060078398E-3</c:v>
                </c:pt>
              </c:numCache>
            </c:numRef>
          </c:xVal>
          <c:yVal>
            <c:numRef>
              <c:f>Sheet1!$I$5:$I$8</c:f>
              <c:numCache>
                <c:formatCode>General</c:formatCode>
                <c:ptCount val="4"/>
                <c:pt idx="0">
                  <c:v>0</c:v>
                </c:pt>
                <c:pt idx="1">
                  <c:v>127323954.47351626</c:v>
                </c:pt>
                <c:pt idx="2">
                  <c:v>254647908.94703251</c:v>
                </c:pt>
                <c:pt idx="3">
                  <c:v>381971863.4205488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2A-43A6-81E8-E3304293E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693983"/>
        <c:axId val="480175455"/>
      </c:scatterChart>
      <c:valAx>
        <c:axId val="2095693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80175455"/>
        <c:crosses val="autoZero"/>
        <c:crossBetween val="midCat"/>
      </c:valAx>
      <c:valAx>
        <c:axId val="48017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95693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371614210031075"/>
          <c:y val="0.78995109584895007"/>
          <c:w val="0.2908662553319426"/>
          <c:h val="6.96725668291170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285717</xdr:colOff>
      <xdr:row>13</xdr:row>
      <xdr:rowOff>187316</xdr:rowOff>
    </xdr:from>
    <xdr:to>
      <xdr:col>10</xdr:col>
      <xdr:colOff>246885</xdr:colOff>
      <xdr:row>26</xdr:row>
      <xdr:rowOff>140790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0CF4C10-2673-4A57-9D13-2A877DFAA0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zoomScale="115" zoomScaleNormal="115" workbookViewId="0">
      <selection activeCell="E9" sqref="E9"/>
    </sheetView>
  </sheetViews>
  <sheetFormatPr defaultRowHeight="18.75" x14ac:dyDescent="0.4"/>
  <cols>
    <col min="1" max="1" width="9.5" bestFit="1" customWidth="1"/>
    <col min="4" max="4" width="9.5" bestFit="1" customWidth="1"/>
    <col min="7" max="7" width="9.5" bestFit="1" customWidth="1"/>
    <col min="9" max="9" width="9.5" bestFit="1" customWidth="1"/>
  </cols>
  <sheetData>
    <row r="1" spans="1:15" x14ac:dyDescent="0.4">
      <c r="A1" t="s">
        <v>14</v>
      </c>
      <c r="G1" t="s">
        <v>15</v>
      </c>
    </row>
    <row r="2" spans="1:15" x14ac:dyDescent="0.4">
      <c r="A2" t="s">
        <v>4</v>
      </c>
      <c r="B2" t="s">
        <v>12</v>
      </c>
      <c r="G2" t="s">
        <v>10</v>
      </c>
      <c r="H2" t="s">
        <v>13</v>
      </c>
    </row>
    <row r="3" spans="1:15" x14ac:dyDescent="0.4">
      <c r="A3" t="s">
        <v>0</v>
      </c>
      <c r="B3" t="s">
        <v>1</v>
      </c>
      <c r="C3" t="s">
        <v>2</v>
      </c>
      <c r="D3" t="s">
        <v>3</v>
      </c>
      <c r="G3" t="s">
        <v>5</v>
      </c>
      <c r="H3" t="s">
        <v>6</v>
      </c>
      <c r="J3" t="s">
        <v>7</v>
      </c>
      <c r="L3" t="s">
        <v>8</v>
      </c>
    </row>
    <row r="4" spans="1:15" x14ac:dyDescent="0.4">
      <c r="A4">
        <v>0</v>
      </c>
      <c r="B4">
        <v>0</v>
      </c>
      <c r="C4">
        <v>0</v>
      </c>
      <c r="D4">
        <v>0</v>
      </c>
      <c r="G4" t="s">
        <v>0</v>
      </c>
      <c r="H4" t="s">
        <v>9</v>
      </c>
      <c r="I4" t="s">
        <v>11</v>
      </c>
      <c r="J4" t="s">
        <v>2</v>
      </c>
      <c r="K4" t="s">
        <v>11</v>
      </c>
      <c r="L4" t="s">
        <v>8</v>
      </c>
      <c r="M4" t="s">
        <v>8</v>
      </c>
      <c r="O4" t="s">
        <v>3</v>
      </c>
    </row>
    <row r="5" spans="1:15" x14ac:dyDescent="0.4">
      <c r="A5" s="1">
        <v>100000</v>
      </c>
      <c r="B5" s="1">
        <v>12730000</v>
      </c>
      <c r="C5" s="1">
        <f t="shared" ref="C5:C10" si="0">D5/0.2</f>
        <v>1.8405E-4</v>
      </c>
      <c r="D5" s="1">
        <f>0.03681*0.001</f>
        <v>3.6810000000000002E-5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5" x14ac:dyDescent="0.4">
      <c r="A6" s="1">
        <v>550000</v>
      </c>
      <c r="B6" s="1">
        <v>70090000</v>
      </c>
      <c r="C6" s="1">
        <f t="shared" si="0"/>
        <v>1.0819999999999998E-3</v>
      </c>
      <c r="D6" s="1">
        <f>0.2164*0.001</f>
        <v>2.164E-4</v>
      </c>
      <c r="G6" s="1">
        <v>1000000</v>
      </c>
      <c r="H6">
        <f>I6/70000000000</f>
        <v>1.8189136353359465E-3</v>
      </c>
      <c r="I6">
        <f>G6/(0.05*0.05*PI())</f>
        <v>127323954.47351626</v>
      </c>
      <c r="J6">
        <f>ABS((O6)/0.2)</f>
        <v>1.7899999999999997E-3</v>
      </c>
      <c r="K6" s="1">
        <v>127300000</v>
      </c>
      <c r="L6">
        <f>(H6-J6)/H6*100</f>
        <v>1.5896101262997335</v>
      </c>
      <c r="M6">
        <f>(I6-K6)/I6*100</f>
        <v>1.881379950481998E-2</v>
      </c>
      <c r="O6" s="1">
        <v>3.5799999999999997E-4</v>
      </c>
    </row>
    <row r="7" spans="1:15" x14ac:dyDescent="0.4">
      <c r="A7" s="1">
        <v>687000</v>
      </c>
      <c r="B7" s="1">
        <v>84320000</v>
      </c>
      <c r="C7" s="1">
        <f t="shared" si="0"/>
        <v>2.0230000000000001E-3</v>
      </c>
      <c r="D7" s="1">
        <f>0.4046*0.001</f>
        <v>4.0460000000000002E-4</v>
      </c>
      <c r="G7" s="1">
        <v>2000000</v>
      </c>
      <c r="H7">
        <f t="shared" ref="H7:H8" si="1">I7/70000000000</f>
        <v>3.637827270671893E-3</v>
      </c>
      <c r="I7">
        <f t="shared" ref="I7:I8" si="2">G7/(0.05*0.05*PI())</f>
        <v>254647908.94703251</v>
      </c>
      <c r="J7">
        <f t="shared" ref="J7:J8" si="3">ABS((O7)/0.2)</f>
        <v>3.5794999999999998E-3</v>
      </c>
      <c r="K7" s="1">
        <v>254600000</v>
      </c>
      <c r="L7">
        <f t="shared" ref="L7:M8" si="4">(H7-J7)/H7*100</f>
        <v>1.6033545941591787</v>
      </c>
      <c r="M7">
        <f t="shared" si="4"/>
        <v>1.881379950481998E-2</v>
      </c>
      <c r="O7" s="1">
        <v>7.159E-4</v>
      </c>
    </row>
    <row r="8" spans="1:15" x14ac:dyDescent="0.4">
      <c r="A8" s="1">
        <v>903000</v>
      </c>
      <c r="B8" s="1">
        <v>116700000</v>
      </c>
      <c r="C8" s="1">
        <f t="shared" si="0"/>
        <v>1.397E-2</v>
      </c>
      <c r="D8" s="1">
        <f>2.794*0.001</f>
        <v>2.794E-3</v>
      </c>
      <c r="G8" s="1">
        <v>3000000</v>
      </c>
      <c r="H8">
        <f t="shared" si="1"/>
        <v>5.4567409060078398E-3</v>
      </c>
      <c r="I8">
        <f t="shared" si="2"/>
        <v>381971863.4205488</v>
      </c>
      <c r="J8">
        <f t="shared" si="3"/>
        <v>5.3699999999999998E-3</v>
      </c>
      <c r="K8" s="1">
        <v>382000000</v>
      </c>
      <c r="L8">
        <f t="shared" si="4"/>
        <v>1.5896101262997255</v>
      </c>
      <c r="M8">
        <f t="shared" si="4"/>
        <v>-7.3661392750871647E-3</v>
      </c>
      <c r="O8" s="1">
        <v>1.0740000000000001E-3</v>
      </c>
    </row>
    <row r="9" spans="1:15" x14ac:dyDescent="0.4">
      <c r="A9" s="1">
        <v>1000000</v>
      </c>
      <c r="B9" s="1">
        <v>126800000</v>
      </c>
      <c r="C9" s="1">
        <f t="shared" si="0"/>
        <v>2.2875E-2</v>
      </c>
      <c r="D9" s="1">
        <f>4.575*0.001</f>
        <v>4.5750000000000001E-3</v>
      </c>
    </row>
    <row r="10" spans="1:15" x14ac:dyDescent="0.4">
      <c r="A10" s="1">
        <v>2000000</v>
      </c>
      <c r="B10" s="1">
        <v>152900000</v>
      </c>
      <c r="C10" s="1">
        <f t="shared" si="0"/>
        <v>0.14995</v>
      </c>
      <c r="D10" s="1">
        <f>29.99*0.001</f>
        <v>2.9989999999999999E-2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大同大学</dc:creator>
  <cp:lastModifiedBy>篠原　主勲</cp:lastModifiedBy>
  <dcterms:created xsi:type="dcterms:W3CDTF">2022-04-21T04:46:28Z</dcterms:created>
  <dcterms:modified xsi:type="dcterms:W3CDTF">2026-09-19T07:34:50Z</dcterms:modified>
</cp:coreProperties>
</file>