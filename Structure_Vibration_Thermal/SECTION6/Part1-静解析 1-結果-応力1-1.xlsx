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6\"/>
    </mc:Choice>
  </mc:AlternateContent>
  <xr:revisionPtr revIDLastSave="0" documentId="13_ncr:1_{9333CC07-A7F3-4A49-846C-DE8F40C4F5EB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Part1-静解析 1-結果-応力1-1" sheetId="1" r:id="rId1"/>
  </sheets>
  <calcPr calcId="191029"/>
</workbook>
</file>

<file path=xl/calcChain.xml><?xml version="1.0" encoding="utf-8"?>
<calcChain xmlns="http://schemas.openxmlformats.org/spreadsheetml/2006/main">
  <c r="F10" i="1" l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9" i="1"/>
  <c r="G9" i="1" s="1"/>
</calcChain>
</file>

<file path=xl/sharedStrings.xml><?xml version="1.0" encoding="utf-8"?>
<sst xmlns="http://schemas.openxmlformats.org/spreadsheetml/2006/main" count="14" uniqueCount="14">
  <si>
    <t>日付：  13:31</t>
  </si>
  <si>
    <t xml:space="preserve"> 木曜日</t>
  </si>
  <si>
    <t xml:space="preserve"> 5月 12</t>
  </si>
  <si>
    <t>ﾓﾃﾞﾙ名:Part1</t>
  </si>
  <si>
    <t>ｽﾀﾃﾞｨ名:静解析 1(-ﾃﾞﾌｫﾙﾄ-)</t>
  </si>
  <si>
    <t>表示ﾀｲﾌﾟ: 静解析 節点応力 応力1</t>
  </si>
  <si>
    <t xml:space="preserve">結果ﾀｲﾌﾟ : P1 </t>
  </si>
  <si>
    <t xml:space="preserve">節点  </t>
  </si>
  <si>
    <t xml:space="preserve">値 (N/m^2)  </t>
  </si>
  <si>
    <t xml:space="preserve">X (m)  </t>
  </si>
  <si>
    <t xml:space="preserve">Y (m)  </t>
  </si>
  <si>
    <t>Z (m)</t>
  </si>
  <si>
    <t>変位の絶対量</t>
    <rPh sb="0" eb="2">
      <t>ヘンイ</t>
    </rPh>
    <rPh sb="3" eb="5">
      <t>ゼッタイ</t>
    </rPh>
    <rPh sb="5" eb="6">
      <t>リョウ</t>
    </rPh>
    <phoneticPr fontId="18"/>
  </si>
  <si>
    <t>理論値</t>
    <rPh sb="0" eb="2">
      <t>リロン</t>
    </rPh>
    <rPh sb="2" eb="3">
      <t>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</si>
</sst>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6.27 </a:t>
            </a:r>
            <a:r>
              <a:rPr lang="ja-JP" altLang="en-US"/>
              <a:t>ねじり応力</a:t>
            </a:r>
          </a:p>
        </c:rich>
      </c:tx>
      <c:layout>
        <c:manualLayout>
          <c:xMode val="edge"/>
          <c:yMode val="edge"/>
          <c:x val="0.30279855643044618"/>
          <c:y val="0.84259259259259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1534492563429572"/>
          <c:y val="4.8287037037037038E-2"/>
          <c:w val="0.57761351706036745"/>
          <c:h val="0.57241542723826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'Part1-静解析 1-結果-応力1-1'!$B$8</c:f>
              <c:strCache>
                <c:ptCount val="1"/>
                <c:pt idx="0">
                  <c:v>値 (N/m^2)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1-結果-応力1-1'!$F$9:$F$18</c:f>
              <c:numCache>
                <c:formatCode>General</c:formatCode>
                <c:ptCount val="10"/>
                <c:pt idx="0">
                  <c:v>3.2368333977824686E-3</c:v>
                </c:pt>
                <c:pt idx="1">
                  <c:v>5.0786329150471193E-3</c:v>
                </c:pt>
                <c:pt idx="2">
                  <c:v>1.1515747944571381E-2</c:v>
                </c:pt>
                <c:pt idx="3">
                  <c:v>1.747985151182355E-2</c:v>
                </c:pt>
                <c:pt idx="4">
                  <c:v>2.3336750040802597E-2</c:v>
                </c:pt>
                <c:pt idx="5">
                  <c:v>2.9171650000987259E-2</c:v>
                </c:pt>
                <c:pt idx="6">
                  <c:v>3.497765000002287E-2</c:v>
                </c:pt>
                <c:pt idx="7">
                  <c:v>4.0444570000001234E-2</c:v>
                </c:pt>
                <c:pt idx="8">
                  <c:v>4.4117650000000001E-2</c:v>
                </c:pt>
                <c:pt idx="9">
                  <c:v>0.05</c:v>
                </c:pt>
              </c:numCache>
            </c:numRef>
          </c:xVal>
          <c:yVal>
            <c:numRef>
              <c:f>'Part1-静解析 1-結果-応力1-1'!$B$9:$B$18</c:f>
              <c:numCache>
                <c:formatCode>0.00E+00</c:formatCode>
                <c:ptCount val="10"/>
                <c:pt idx="0">
                  <c:v>331.5</c:v>
                </c:pt>
                <c:pt idx="1">
                  <c:v>517</c:v>
                </c:pt>
                <c:pt idx="2">
                  <c:v>1174</c:v>
                </c:pt>
                <c:pt idx="3">
                  <c:v>1782</c:v>
                </c:pt>
                <c:pt idx="4">
                  <c:v>2383</c:v>
                </c:pt>
                <c:pt idx="5">
                  <c:v>2979</c:v>
                </c:pt>
                <c:pt idx="6">
                  <c:v>3571</c:v>
                </c:pt>
                <c:pt idx="7">
                  <c:v>4134</c:v>
                </c:pt>
                <c:pt idx="8">
                  <c:v>4511</c:v>
                </c:pt>
                <c:pt idx="9">
                  <c:v>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D6-4FC3-949F-57F7DE89A0FE}"/>
            </c:ext>
          </c:extLst>
        </c:ser>
        <c:ser>
          <c:idx val="1"/>
          <c:order val="1"/>
          <c:tx>
            <c:strRef>
              <c:f>'Part1-静解析 1-結果-応力1-1'!$G$8</c:f>
              <c:strCache>
                <c:ptCount val="1"/>
                <c:pt idx="0">
                  <c:v>理論値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'Part1-静解析 1-結果-応力1-1'!$F$9:$F$18</c:f>
              <c:numCache>
                <c:formatCode>General</c:formatCode>
                <c:ptCount val="10"/>
                <c:pt idx="0">
                  <c:v>3.2368333977824686E-3</c:v>
                </c:pt>
                <c:pt idx="1">
                  <c:v>5.0786329150471193E-3</c:v>
                </c:pt>
                <c:pt idx="2">
                  <c:v>1.1515747944571381E-2</c:v>
                </c:pt>
                <c:pt idx="3">
                  <c:v>1.747985151182355E-2</c:v>
                </c:pt>
                <c:pt idx="4">
                  <c:v>2.3336750040802597E-2</c:v>
                </c:pt>
                <c:pt idx="5">
                  <c:v>2.9171650000987259E-2</c:v>
                </c:pt>
                <c:pt idx="6">
                  <c:v>3.497765000002287E-2</c:v>
                </c:pt>
                <c:pt idx="7">
                  <c:v>4.0444570000001234E-2</c:v>
                </c:pt>
                <c:pt idx="8">
                  <c:v>4.4117650000000001E-2</c:v>
                </c:pt>
                <c:pt idx="9">
                  <c:v>0.05</c:v>
                </c:pt>
              </c:numCache>
            </c:numRef>
          </c:xVal>
          <c:yVal>
            <c:numRef>
              <c:f>'Part1-静解析 1-結果-応力1-1'!$G$9:$G$18</c:f>
              <c:numCache>
                <c:formatCode>General</c:formatCode>
                <c:ptCount val="10"/>
                <c:pt idx="0">
                  <c:v>329.70114254208943</c:v>
                </c:pt>
                <c:pt idx="1">
                  <c:v>517.30530085052828</c:v>
                </c:pt>
                <c:pt idx="2">
                  <c:v>1172.9844536184755</c:v>
                </c:pt>
                <c:pt idx="3">
                  <c:v>1780.483054476196</c:v>
                </c:pt>
                <c:pt idx="4">
                  <c:v>2377.0618398039819</c:v>
                </c:pt>
                <c:pt idx="5">
                  <c:v>2971.3998693144408</c:v>
                </c:pt>
                <c:pt idx="6">
                  <c:v>3562.794172954797</c:v>
                </c:pt>
                <c:pt idx="7">
                  <c:v>4119.6500715048769</c:v>
                </c:pt>
                <c:pt idx="8">
                  <c:v>4493.7869280628183</c:v>
                </c:pt>
                <c:pt idx="9">
                  <c:v>5092.9581789406484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D6-4FC3-949F-57F7DE89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6784"/>
        <c:axId val="89751712"/>
      </c:scatterChart>
      <c:valAx>
        <c:axId val="9795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円柱中心からの距離</a:t>
                </a:r>
                <a:r>
                  <a:rPr lang="en-US" altLang="ja-JP"/>
                  <a:t>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751712"/>
        <c:crosses val="autoZero"/>
        <c:crossBetween val="midCat"/>
      </c:valAx>
      <c:valAx>
        <c:axId val="897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ねじり応力</a:t>
                </a:r>
                <a:r>
                  <a:rPr lang="en-US" altLang="ja-JP"/>
                  <a:t>{Pa}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2222222222222223E-2"/>
              <c:y val="0.19503864100320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95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5</xdr:row>
      <xdr:rowOff>33337</xdr:rowOff>
    </xdr:from>
    <xdr:to>
      <xdr:col>15</xdr:col>
      <xdr:colOff>461962</xdr:colOff>
      <xdr:row>16</xdr:row>
      <xdr:rowOff>157162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A739D3-F4F9-40E3-958C-FCE364932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19" sqref="I19"/>
    </sheetView>
  </sheetViews>
  <sheetFormatPr defaultRowHeight="18.75" x14ac:dyDescent="0.4"/>
  <cols>
    <col min="6" max="6" width="19" customWidth="1"/>
    <col min="7" max="7" width="25.875" customWidth="1"/>
  </cols>
  <sheetData>
    <row r="1" spans="1:7" x14ac:dyDescent="0.4">
      <c r="A1" t="s">
        <v>0</v>
      </c>
      <c r="B1" t="s">
        <v>1</v>
      </c>
      <c r="C1" t="s">
        <v>2</v>
      </c>
      <c r="D1">
        <v>2022</v>
      </c>
    </row>
    <row r="2" spans="1:7" x14ac:dyDescent="0.4">
      <c r="A2" t="s">
        <v>3</v>
      </c>
    </row>
    <row r="3" spans="1:7" x14ac:dyDescent="0.4">
      <c r="A3" t="s">
        <v>4</v>
      </c>
    </row>
    <row r="4" spans="1:7" x14ac:dyDescent="0.4">
      <c r="A4" t="s">
        <v>5</v>
      </c>
    </row>
    <row r="5" spans="1:7" x14ac:dyDescent="0.4">
      <c r="A5" t="s">
        <v>6</v>
      </c>
    </row>
    <row r="8" spans="1:7" x14ac:dyDescent="0.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4">
      <c r="A9">
        <v>1901</v>
      </c>
      <c r="B9" s="1">
        <v>331.5</v>
      </c>
      <c r="C9">
        <v>-3.23683E-3</v>
      </c>
      <c r="D9">
        <v>4.69E-6</v>
      </c>
      <c r="E9">
        <v>0.2</v>
      </c>
      <c r="F9">
        <f>(C9^2+D9^2)^(1/2)</f>
        <v>3.2368333977824686E-3</v>
      </c>
      <c r="G9">
        <f>1/(PI()/32*0.1^4)*F9</f>
        <v>329.70114254208943</v>
      </c>
    </row>
    <row r="10" spans="1:7" x14ac:dyDescent="0.4">
      <c r="A10">
        <v>1902</v>
      </c>
      <c r="B10" s="1">
        <v>517</v>
      </c>
      <c r="C10">
        <v>5.07743E-3</v>
      </c>
      <c r="D10">
        <v>-1.1053E-4</v>
      </c>
      <c r="E10">
        <v>0.2</v>
      </c>
      <c r="F10">
        <f t="shared" ref="F10:F18" si="0">(C10^2+D10^2)^(1/2)</f>
        <v>5.0786329150471193E-3</v>
      </c>
      <c r="G10">
        <f t="shared" ref="G10:G18" si="1">1/(PI()/32*0.1^4)*F10</f>
        <v>517.30530085052828</v>
      </c>
    </row>
    <row r="11" spans="1:7" x14ac:dyDescent="0.4">
      <c r="A11">
        <v>1903</v>
      </c>
      <c r="B11" s="1">
        <v>1174</v>
      </c>
      <c r="C11">
        <v>1.15157E-2</v>
      </c>
      <c r="D11">
        <v>-3.3229999999999999E-5</v>
      </c>
      <c r="E11">
        <v>0.2</v>
      </c>
      <c r="F11">
        <f t="shared" si="0"/>
        <v>1.1515747944571381E-2</v>
      </c>
      <c r="G11">
        <f t="shared" si="1"/>
        <v>1172.9844536184755</v>
      </c>
    </row>
    <row r="12" spans="1:7" x14ac:dyDescent="0.4">
      <c r="A12">
        <v>1904</v>
      </c>
      <c r="B12" s="1">
        <v>1782</v>
      </c>
      <c r="C12">
        <v>1.7479850000000002E-2</v>
      </c>
      <c r="D12">
        <v>-7.2699999999999999E-6</v>
      </c>
      <c r="E12">
        <v>0.2</v>
      </c>
      <c r="F12">
        <f t="shared" si="0"/>
        <v>1.747985151182355E-2</v>
      </c>
      <c r="G12">
        <f t="shared" si="1"/>
        <v>1780.483054476196</v>
      </c>
    </row>
    <row r="13" spans="1:7" x14ac:dyDescent="0.4">
      <c r="A13">
        <v>1905</v>
      </c>
      <c r="B13" s="1">
        <v>2383</v>
      </c>
      <c r="C13">
        <v>2.333675E-2</v>
      </c>
      <c r="D13">
        <v>-1.3799999999999999E-6</v>
      </c>
      <c r="E13">
        <v>0.2</v>
      </c>
      <c r="F13">
        <f t="shared" si="0"/>
        <v>2.3336750040802597E-2</v>
      </c>
      <c r="G13">
        <f t="shared" si="1"/>
        <v>2377.0618398039819</v>
      </c>
    </row>
    <row r="14" spans="1:7" x14ac:dyDescent="0.4">
      <c r="A14">
        <v>1906</v>
      </c>
      <c r="B14" s="1">
        <v>2979</v>
      </c>
      <c r="C14">
        <v>2.917165E-2</v>
      </c>
      <c r="D14">
        <v>-2.3999999999999998E-7</v>
      </c>
      <c r="E14">
        <v>0.2</v>
      </c>
      <c r="F14">
        <f t="shared" si="0"/>
        <v>2.9171650000987259E-2</v>
      </c>
      <c r="G14">
        <f t="shared" si="1"/>
        <v>2971.3998693144408</v>
      </c>
    </row>
    <row r="15" spans="1:7" x14ac:dyDescent="0.4">
      <c r="A15">
        <v>1907</v>
      </c>
      <c r="B15" s="1">
        <v>3571</v>
      </c>
      <c r="C15">
        <v>3.4977649999999999E-2</v>
      </c>
      <c r="D15">
        <v>-4.0000000000000001E-8</v>
      </c>
      <c r="E15">
        <v>0.2</v>
      </c>
      <c r="F15">
        <f t="shared" si="0"/>
        <v>3.497765000002287E-2</v>
      </c>
      <c r="G15">
        <f t="shared" si="1"/>
        <v>3562.794172954797</v>
      </c>
    </row>
    <row r="16" spans="1:7" x14ac:dyDescent="0.4">
      <c r="A16">
        <v>1908</v>
      </c>
      <c r="B16" s="1">
        <v>4134</v>
      </c>
      <c r="C16">
        <v>4.0444569999999999E-2</v>
      </c>
      <c r="D16">
        <v>-1E-8</v>
      </c>
      <c r="E16">
        <v>0.2</v>
      </c>
      <c r="F16">
        <f t="shared" si="0"/>
        <v>4.0444570000001234E-2</v>
      </c>
      <c r="G16">
        <f t="shared" si="1"/>
        <v>4119.6500715048769</v>
      </c>
    </row>
    <row r="17" spans="1:7" x14ac:dyDescent="0.4">
      <c r="A17">
        <v>1909</v>
      </c>
      <c r="B17" s="1">
        <v>4511</v>
      </c>
      <c r="C17">
        <v>4.4117650000000001E-2</v>
      </c>
      <c r="D17">
        <v>0</v>
      </c>
      <c r="E17">
        <v>0.2</v>
      </c>
      <c r="F17">
        <f t="shared" si="0"/>
        <v>4.4117650000000001E-2</v>
      </c>
      <c r="G17">
        <f t="shared" si="1"/>
        <v>4493.7869280628183</v>
      </c>
    </row>
    <row r="18" spans="1:7" x14ac:dyDescent="0.4">
      <c r="A18">
        <v>10</v>
      </c>
      <c r="B18" s="1">
        <v>5121</v>
      </c>
      <c r="C18">
        <v>0.05</v>
      </c>
      <c r="D18">
        <v>0</v>
      </c>
      <c r="E18">
        <v>0.2</v>
      </c>
      <c r="F18">
        <f t="shared" si="0"/>
        <v>0.05</v>
      </c>
      <c r="G18">
        <f t="shared" si="1"/>
        <v>5092.9581789406484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Part1-静解析 1-結果-応力1-1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2022-05-12T05:22:48Z</dcterms:created>
  <dcterms:modified xsi:type="dcterms:W3CDTF">2026-09-20T05:41:37Z</dcterms:modified>
</cp:coreProperties>
</file>