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ymwhr268\Desktop\Structure_Vibration_Thermal\SECTION10\"/>
    </mc:Choice>
  </mc:AlternateContent>
  <xr:revisionPtr revIDLastSave="0" documentId="13_ncr:1_{E687DA5A-09D0-4251-98C1-CA3C59886ACC}" xr6:coauthVersionLast="36" xr6:coauthVersionMax="47" xr10:uidLastSave="{00000000-0000-0000-0000-000000000000}"/>
  <bookViews>
    <workbookView xWindow="0" yWindow="0" windowWidth="28800" windowHeight="11265" xr2:uid="{00000000-000D-0000-FFFF-FFFF00000000}"/>
  </bookViews>
  <sheets>
    <sheet name="応答ｸﾞﾗﾌ-3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2" l="1"/>
  <c r="G14" i="2"/>
  <c r="D11" i="2" l="1"/>
  <c r="H11" i="2"/>
  <c r="D12" i="2"/>
  <c r="F12" i="2"/>
  <c r="G12" i="2"/>
  <c r="H12" i="2"/>
  <c r="D13" i="2"/>
  <c r="F13" i="2"/>
  <c r="G13" i="2"/>
  <c r="H13" i="2"/>
  <c r="D14" i="2"/>
  <c r="F14" i="2"/>
  <c r="H14" i="2"/>
  <c r="D15" i="2"/>
  <c r="F15" i="2"/>
  <c r="F16" i="2" s="1"/>
  <c r="G15" i="2"/>
  <c r="H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G16" i="2" l="1"/>
  <c r="F17" i="2"/>
  <c r="H16" i="2"/>
  <c r="G17" i="2" l="1"/>
  <c r="H17" i="2"/>
  <c r="F18" i="2"/>
  <c r="G18" i="2" l="1"/>
  <c r="F19" i="2"/>
  <c r="H18" i="2"/>
  <c r="G19" i="2" l="1"/>
  <c r="H19" i="2"/>
  <c r="F20" i="2"/>
  <c r="F21" i="2" l="1"/>
  <c r="H20" i="2"/>
  <c r="G20" i="2"/>
  <c r="F22" i="2" l="1"/>
  <c r="G21" i="2"/>
  <c r="H21" i="2"/>
  <c r="H22" i="2" l="1"/>
  <c r="F23" i="2"/>
  <c r="G22" i="2"/>
  <c r="G23" i="2" l="1"/>
  <c r="H23" i="2"/>
  <c r="F24" i="2"/>
  <c r="H24" i="2" l="1"/>
  <c r="F25" i="2"/>
  <c r="G24" i="2"/>
  <c r="F26" i="2" l="1"/>
  <c r="H25" i="2"/>
  <c r="G25" i="2"/>
  <c r="G26" i="2" l="1"/>
  <c r="H26" i="2"/>
  <c r="F27" i="2"/>
  <c r="F28" i="2" l="1"/>
  <c r="G27" i="2"/>
  <c r="H27" i="2"/>
  <c r="H28" i="2" l="1"/>
  <c r="G28" i="2"/>
  <c r="F29" i="2"/>
  <c r="F30" i="2" l="1"/>
  <c r="H29" i="2"/>
  <c r="G29" i="2"/>
  <c r="F31" i="2" l="1"/>
  <c r="G30" i="2"/>
  <c r="H30" i="2"/>
  <c r="G31" i="2" l="1"/>
  <c r="H31" i="2"/>
  <c r="F32" i="2"/>
  <c r="F33" i="2" l="1"/>
  <c r="G32" i="2"/>
  <c r="H32" i="2"/>
  <c r="G33" i="2" l="1"/>
  <c r="H33" i="2"/>
  <c r="F34" i="2"/>
  <c r="H34" i="2" l="1"/>
  <c r="F35" i="2"/>
  <c r="G34" i="2"/>
  <c r="F36" i="2" l="1"/>
  <c r="H35" i="2"/>
  <c r="G35" i="2"/>
  <c r="F37" i="2" l="1"/>
  <c r="G36" i="2"/>
  <c r="H36" i="2"/>
  <c r="H37" i="2" l="1"/>
  <c r="F38" i="2"/>
  <c r="G37" i="2"/>
  <c r="H38" i="2" l="1"/>
  <c r="G38" i="2"/>
  <c r="F39" i="2"/>
  <c r="F40" i="2" l="1"/>
  <c r="G39" i="2"/>
  <c r="H39" i="2"/>
  <c r="F41" i="2" l="1"/>
  <c r="H40" i="2"/>
  <c r="G40" i="2"/>
  <c r="G41" i="2" l="1"/>
  <c r="F42" i="2"/>
  <c r="H41" i="2"/>
  <c r="G42" i="2" l="1"/>
  <c r="H42" i="2"/>
  <c r="F43" i="2"/>
  <c r="G43" i="2" l="1"/>
  <c r="H43" i="2"/>
  <c r="F44" i="2"/>
  <c r="F45" i="2" l="1"/>
  <c r="H44" i="2"/>
  <c r="G44" i="2"/>
  <c r="F46" i="2" l="1"/>
  <c r="G45" i="2"/>
  <c r="H45" i="2"/>
  <c r="G46" i="2" l="1"/>
  <c r="H46" i="2"/>
  <c r="F47" i="2"/>
  <c r="F48" i="2" l="1"/>
  <c r="G47" i="2"/>
  <c r="H47" i="2"/>
  <c r="G48" i="2" l="1"/>
  <c r="F49" i="2"/>
  <c r="H48" i="2"/>
  <c r="G49" i="2" l="1"/>
  <c r="F50" i="2"/>
  <c r="H49" i="2"/>
  <c r="F51" i="2" l="1"/>
  <c r="H50" i="2"/>
  <c r="G50" i="2"/>
  <c r="G51" i="2" l="1"/>
  <c r="H51" i="2"/>
  <c r="F52" i="2"/>
  <c r="H52" i="2" l="1"/>
  <c r="G52" i="2"/>
  <c r="F53" i="2"/>
  <c r="G53" i="2" l="1"/>
  <c r="F54" i="2"/>
  <c r="H53" i="2"/>
  <c r="F55" i="2" l="1"/>
  <c r="H54" i="2"/>
  <c r="G54" i="2"/>
  <c r="F56" i="2" l="1"/>
  <c r="G55" i="2"/>
  <c r="H55" i="2"/>
  <c r="F57" i="2" l="1"/>
  <c r="G56" i="2"/>
  <c r="H56" i="2"/>
  <c r="G57" i="2" l="1"/>
  <c r="H57" i="2"/>
  <c r="F58" i="2"/>
  <c r="H58" i="2" l="1"/>
  <c r="G58" i="2"/>
  <c r="F59" i="2"/>
  <c r="H59" i="2" l="1"/>
  <c r="F60" i="2"/>
  <c r="G59" i="2"/>
  <c r="F61" i="2" l="1"/>
  <c r="H60" i="2"/>
  <c r="G60" i="2"/>
  <c r="G61" i="2" l="1"/>
  <c r="H61" i="2"/>
  <c r="F62" i="2"/>
  <c r="H62" i="2" l="1"/>
  <c r="F63" i="2"/>
  <c r="G62" i="2"/>
  <c r="H63" i="2" l="1"/>
  <c r="F64" i="2"/>
  <c r="G63" i="2"/>
  <c r="F65" i="2" l="1"/>
  <c r="H64" i="2"/>
  <c r="G64" i="2"/>
  <c r="F66" i="2" l="1"/>
  <c r="H65" i="2"/>
  <c r="G65" i="2"/>
  <c r="G66" i="2" l="1"/>
  <c r="F67" i="2"/>
  <c r="H66" i="2"/>
  <c r="F68" i="2" l="1"/>
  <c r="G67" i="2"/>
  <c r="H67" i="2"/>
  <c r="F69" i="2" l="1"/>
  <c r="G68" i="2"/>
  <c r="H68" i="2"/>
  <c r="H69" i="2" l="1"/>
  <c r="G69" i="2"/>
  <c r="F70" i="2"/>
  <c r="F71" i="2" l="1"/>
  <c r="G70" i="2"/>
  <c r="H70" i="2"/>
  <c r="G71" i="2" l="1"/>
  <c r="H71" i="2"/>
  <c r="F72" i="2"/>
  <c r="G72" i="2" l="1"/>
  <c r="H72" i="2"/>
  <c r="F73" i="2"/>
  <c r="G73" i="2" l="1"/>
  <c r="H73" i="2"/>
  <c r="F74" i="2"/>
  <c r="G74" i="2" l="1"/>
  <c r="H74" i="2"/>
  <c r="F75" i="2"/>
  <c r="F76" i="2" l="1"/>
  <c r="G75" i="2"/>
  <c r="H75" i="2"/>
  <c r="F77" i="2" l="1"/>
  <c r="G76" i="2"/>
  <c r="H76" i="2"/>
  <c r="H77" i="2" l="1"/>
  <c r="F78" i="2"/>
  <c r="G77" i="2"/>
  <c r="F79" i="2" l="1"/>
  <c r="G78" i="2"/>
  <c r="H78" i="2"/>
  <c r="G79" i="2" l="1"/>
  <c r="H79" i="2"/>
  <c r="F80" i="2"/>
  <c r="F81" i="2" l="1"/>
  <c r="H80" i="2"/>
  <c r="G80" i="2"/>
  <c r="G81" i="2" l="1"/>
  <c r="F82" i="2"/>
  <c r="H81" i="2"/>
  <c r="G82" i="2" l="1"/>
  <c r="H82" i="2"/>
  <c r="F83" i="2"/>
  <c r="H83" i="2" l="1"/>
  <c r="G83" i="2"/>
  <c r="F84" i="2"/>
  <c r="G84" i="2" l="1"/>
  <c r="F85" i="2"/>
  <c r="H84" i="2"/>
  <c r="F86" i="2" l="1"/>
  <c r="H85" i="2"/>
  <c r="G85" i="2"/>
  <c r="G86" i="2" l="1"/>
  <c r="H86" i="2"/>
  <c r="F87" i="2"/>
  <c r="H87" i="2" l="1"/>
  <c r="F88" i="2"/>
  <c r="G87" i="2"/>
  <c r="F89" i="2" l="1"/>
  <c r="G88" i="2"/>
  <c r="H88" i="2"/>
  <c r="H89" i="2" l="1"/>
  <c r="F90" i="2"/>
  <c r="G89" i="2"/>
  <c r="F91" i="2" l="1"/>
  <c r="G90" i="2"/>
  <c r="H90" i="2"/>
  <c r="G91" i="2" l="1"/>
  <c r="H91" i="2"/>
  <c r="F92" i="2"/>
  <c r="F93" i="2" l="1"/>
  <c r="G92" i="2"/>
  <c r="H92" i="2"/>
  <c r="F94" i="2" l="1"/>
  <c r="H93" i="2"/>
  <c r="G93" i="2"/>
  <c r="G94" i="2" l="1"/>
  <c r="F95" i="2"/>
  <c r="H94" i="2"/>
  <c r="F96" i="2" l="1"/>
  <c r="H95" i="2"/>
  <c r="G95" i="2"/>
  <c r="F97" i="2" l="1"/>
  <c r="G96" i="2"/>
  <c r="H96" i="2"/>
  <c r="H97" i="2" l="1"/>
  <c r="F98" i="2"/>
  <c r="G97" i="2"/>
  <c r="F99" i="2" l="1"/>
  <c r="H98" i="2"/>
  <c r="G98" i="2"/>
  <c r="G99" i="2" l="1"/>
  <c r="H99" i="2"/>
  <c r="F100" i="2"/>
  <c r="F101" i="2" l="1"/>
  <c r="G100" i="2"/>
  <c r="H100" i="2"/>
  <c r="G101" i="2" l="1"/>
  <c r="F102" i="2"/>
  <c r="H101" i="2"/>
  <c r="G102" i="2" l="1"/>
  <c r="F103" i="2"/>
  <c r="H102" i="2"/>
  <c r="H103" i="2" l="1"/>
  <c r="F104" i="2"/>
  <c r="G103" i="2"/>
  <c r="G104" i="2" l="1"/>
  <c r="H104" i="2"/>
  <c r="F105" i="2"/>
  <c r="F106" i="2" l="1"/>
  <c r="G105" i="2"/>
  <c r="H105" i="2"/>
  <c r="G106" i="2" l="1"/>
  <c r="H106" i="2"/>
  <c r="F107" i="2"/>
  <c r="H107" i="2" l="1"/>
  <c r="G107" i="2"/>
  <c r="F108" i="2"/>
  <c r="G108" i="2" l="1"/>
  <c r="H108" i="2"/>
  <c r="F109" i="2"/>
  <c r="G109" i="2" l="1"/>
  <c r="H109" i="2"/>
  <c r="F110" i="2"/>
  <c r="F111" i="2" l="1"/>
  <c r="H110" i="2"/>
  <c r="G110" i="2"/>
  <c r="G111" i="2" l="1"/>
  <c r="H111" i="2"/>
  <c r="F112" i="2"/>
  <c r="H112" i="2" l="1"/>
  <c r="F113" i="2"/>
  <c r="G112" i="2"/>
  <c r="G113" i="2" l="1"/>
  <c r="H113" i="2"/>
  <c r="F114" i="2"/>
  <c r="G114" i="2" l="1"/>
  <c r="H114" i="2"/>
  <c r="F115" i="2"/>
  <c r="F116" i="2" l="1"/>
  <c r="G115" i="2"/>
  <c r="H115" i="2"/>
  <c r="F117" i="2" l="1"/>
  <c r="G116" i="2"/>
  <c r="H116" i="2"/>
  <c r="F118" i="2" l="1"/>
  <c r="G117" i="2"/>
  <c r="H117" i="2"/>
  <c r="G118" i="2" l="1"/>
  <c r="H118" i="2"/>
  <c r="F119" i="2"/>
  <c r="G119" i="2" l="1"/>
  <c r="H119" i="2"/>
  <c r="F120" i="2"/>
  <c r="F121" i="2" l="1"/>
  <c r="G120" i="2"/>
  <c r="H120" i="2"/>
  <c r="G121" i="2" l="1"/>
  <c r="F122" i="2"/>
  <c r="H121" i="2"/>
  <c r="G122" i="2" l="1"/>
  <c r="H122" i="2"/>
  <c r="F123" i="2"/>
  <c r="F124" i="2" l="1"/>
  <c r="G123" i="2"/>
  <c r="H123" i="2"/>
  <c r="H124" i="2" l="1"/>
  <c r="F125" i="2"/>
  <c r="G124" i="2"/>
  <c r="F126" i="2" l="1"/>
  <c r="H125" i="2"/>
  <c r="G125" i="2"/>
  <c r="G126" i="2" l="1"/>
  <c r="H126" i="2"/>
  <c r="F127" i="2"/>
  <c r="G127" i="2" l="1"/>
  <c r="H127" i="2"/>
  <c r="F128" i="2"/>
  <c r="F129" i="2" l="1"/>
  <c r="G128" i="2"/>
  <c r="H128" i="2"/>
  <c r="F130" i="2" l="1"/>
  <c r="G129" i="2"/>
  <c r="H129" i="2"/>
  <c r="F131" i="2" l="1"/>
  <c r="H130" i="2"/>
  <c r="G130" i="2"/>
  <c r="G131" i="2" l="1"/>
  <c r="H131" i="2"/>
  <c r="F132" i="2"/>
  <c r="G132" i="2" l="1"/>
  <c r="H132" i="2"/>
  <c r="F133" i="2"/>
  <c r="G133" i="2" l="1"/>
  <c r="F134" i="2"/>
  <c r="H133" i="2"/>
  <c r="H134" i="2" l="1"/>
  <c r="G134" i="2"/>
  <c r="F135" i="2"/>
  <c r="F136" i="2" l="1"/>
  <c r="G135" i="2"/>
  <c r="H135" i="2"/>
  <c r="F137" i="2" l="1"/>
  <c r="G136" i="2"/>
  <c r="H136" i="2"/>
  <c r="H137" i="2" l="1"/>
  <c r="F138" i="2"/>
  <c r="G137" i="2"/>
  <c r="F139" i="2" l="1"/>
  <c r="G138" i="2"/>
  <c r="H138" i="2"/>
  <c r="F140" i="2" l="1"/>
  <c r="G139" i="2"/>
  <c r="H139" i="2"/>
  <c r="F141" i="2" l="1"/>
  <c r="G140" i="2"/>
  <c r="H140" i="2"/>
  <c r="G141" i="2" l="1"/>
  <c r="F142" i="2"/>
  <c r="H141" i="2"/>
  <c r="G142" i="2" l="1"/>
  <c r="H142" i="2"/>
  <c r="F143" i="2"/>
  <c r="H143" i="2" l="1"/>
  <c r="F144" i="2"/>
  <c r="G143" i="2"/>
  <c r="G144" i="2" l="1"/>
  <c r="H144" i="2"/>
  <c r="F145" i="2"/>
  <c r="F146" i="2" l="1"/>
  <c r="G145" i="2"/>
  <c r="H145" i="2"/>
  <c r="G146" i="2" l="1"/>
  <c r="H146" i="2"/>
  <c r="F147" i="2"/>
  <c r="F148" i="2" l="1"/>
  <c r="G147" i="2"/>
  <c r="H147" i="2"/>
  <c r="G148" i="2" l="1"/>
  <c r="H148" i="2"/>
  <c r="F149" i="2"/>
  <c r="G149" i="2" l="1"/>
  <c r="H149" i="2"/>
  <c r="F150" i="2"/>
  <c r="F151" i="2" l="1"/>
  <c r="G150" i="2"/>
  <c r="H150" i="2"/>
  <c r="G151" i="2" l="1"/>
  <c r="H151" i="2"/>
  <c r="F152" i="2"/>
  <c r="G152" i="2" l="1"/>
  <c r="F153" i="2"/>
  <c r="H152" i="2"/>
  <c r="G153" i="2" l="1"/>
  <c r="H153" i="2"/>
  <c r="F154" i="2"/>
  <c r="F155" i="2" l="1"/>
  <c r="G154" i="2"/>
  <c r="H154" i="2"/>
  <c r="F156" i="2" l="1"/>
  <c r="G155" i="2"/>
  <c r="H155" i="2"/>
  <c r="F157" i="2" l="1"/>
  <c r="G156" i="2"/>
  <c r="H156" i="2"/>
  <c r="G157" i="2" l="1"/>
  <c r="H157" i="2"/>
  <c r="F158" i="2"/>
  <c r="G158" i="2" l="1"/>
  <c r="F159" i="2"/>
  <c r="H158" i="2"/>
  <c r="H159" i="2" l="1"/>
  <c r="G159" i="2"/>
  <c r="F160" i="2"/>
  <c r="F161" i="2" l="1"/>
  <c r="G160" i="2"/>
  <c r="H160" i="2"/>
  <c r="G161" i="2" l="1"/>
  <c r="F162" i="2"/>
  <c r="H161" i="2"/>
  <c r="G162" i="2" l="1"/>
  <c r="H162" i="2"/>
  <c r="F163" i="2"/>
  <c r="G163" i="2" l="1"/>
  <c r="H163" i="2"/>
  <c r="F164" i="2"/>
  <c r="F165" i="2" l="1"/>
  <c r="G164" i="2"/>
  <c r="H164" i="2"/>
  <c r="F166" i="2" l="1"/>
  <c r="H165" i="2"/>
  <c r="G165" i="2"/>
  <c r="G166" i="2" l="1"/>
  <c r="H166" i="2"/>
  <c r="F167" i="2"/>
  <c r="H167" i="2" l="1"/>
  <c r="F168" i="2"/>
  <c r="G167" i="2"/>
  <c r="G168" i="2" l="1"/>
  <c r="H168" i="2"/>
  <c r="F169" i="2"/>
  <c r="F170" i="2" l="1"/>
  <c r="H169" i="2"/>
  <c r="G169" i="2"/>
  <c r="F171" i="2" l="1"/>
  <c r="G170" i="2"/>
  <c r="H170" i="2"/>
  <c r="G171" i="2" l="1"/>
  <c r="H171" i="2"/>
  <c r="F172" i="2"/>
  <c r="G172" i="2" l="1"/>
  <c r="H172" i="2"/>
  <c r="F173" i="2"/>
  <c r="H173" i="2" l="1"/>
  <c r="G173" i="2"/>
  <c r="F174" i="2"/>
  <c r="G174" i="2" l="1"/>
  <c r="F175" i="2"/>
  <c r="H174" i="2"/>
  <c r="F176" i="2" l="1"/>
  <c r="H175" i="2"/>
  <c r="G175" i="2"/>
  <c r="F177" i="2" l="1"/>
  <c r="G176" i="2"/>
  <c r="H176" i="2"/>
  <c r="G177" i="2" l="1"/>
  <c r="H177" i="2"/>
  <c r="F178" i="2"/>
  <c r="G178" i="2" l="1"/>
  <c r="H178" i="2"/>
  <c r="F179" i="2"/>
  <c r="G179" i="2" l="1"/>
  <c r="F180" i="2"/>
  <c r="H179" i="2"/>
  <c r="F181" i="2" l="1"/>
  <c r="G180" i="2"/>
  <c r="H180" i="2"/>
  <c r="G181" i="2" l="1"/>
  <c r="H181" i="2"/>
  <c r="F182" i="2"/>
  <c r="G182" i="2" l="1"/>
  <c r="H182" i="2"/>
  <c r="F183" i="2"/>
  <c r="H183" i="2" l="1"/>
  <c r="G183" i="2"/>
  <c r="F184" i="2"/>
  <c r="H184" i="2" l="1"/>
  <c r="F185" i="2"/>
  <c r="G184" i="2"/>
  <c r="F186" i="2" l="1"/>
  <c r="H185" i="2"/>
  <c r="G185" i="2"/>
  <c r="G186" i="2" l="1"/>
  <c r="F187" i="2"/>
  <c r="H186" i="2"/>
  <c r="H187" i="2" l="1"/>
  <c r="G187" i="2"/>
  <c r="F188" i="2"/>
  <c r="F189" i="2" l="1"/>
  <c r="G188" i="2"/>
  <c r="H188" i="2"/>
  <c r="H189" i="2" l="1"/>
  <c r="F190" i="2"/>
  <c r="G189" i="2"/>
  <c r="F191" i="2" l="1"/>
  <c r="H190" i="2"/>
  <c r="G190" i="2"/>
  <c r="F192" i="2" l="1"/>
  <c r="G191" i="2"/>
  <c r="H191" i="2"/>
  <c r="H192" i="2" l="1"/>
  <c r="G192" i="2"/>
  <c r="F193" i="2"/>
  <c r="G193" i="2" l="1"/>
  <c r="F194" i="2"/>
  <c r="H193" i="2"/>
  <c r="G194" i="2" l="1"/>
  <c r="H194" i="2"/>
  <c r="F195" i="2"/>
  <c r="F196" i="2" l="1"/>
  <c r="H195" i="2"/>
  <c r="G195" i="2"/>
  <c r="G196" i="2" l="1"/>
  <c r="H196" i="2"/>
  <c r="F197" i="2"/>
  <c r="G197" i="2" l="1"/>
  <c r="H197" i="2"/>
  <c r="F198" i="2"/>
  <c r="F199" i="2" l="1"/>
  <c r="G198" i="2"/>
  <c r="H198" i="2"/>
  <c r="G199" i="2" l="1"/>
  <c r="F200" i="2"/>
  <c r="H199" i="2"/>
  <c r="F201" i="2" l="1"/>
  <c r="G200" i="2"/>
  <c r="H200" i="2"/>
  <c r="G201" i="2" l="1"/>
  <c r="H201" i="2"/>
  <c r="F202" i="2"/>
  <c r="G202" i="2" l="1"/>
  <c r="H202" i="2"/>
  <c r="F203" i="2"/>
  <c r="F204" i="2" l="1"/>
  <c r="G203" i="2"/>
  <c r="H203" i="2"/>
  <c r="H204" i="2" l="1"/>
  <c r="G204" i="2"/>
  <c r="F205" i="2"/>
  <c r="F206" i="2" l="1"/>
  <c r="H205" i="2"/>
  <c r="G205" i="2"/>
  <c r="F207" i="2" l="1"/>
  <c r="G206" i="2"/>
  <c r="H206" i="2"/>
  <c r="G207" i="2" l="1"/>
  <c r="H207" i="2"/>
  <c r="F208" i="2"/>
  <c r="G208" i="2" l="1"/>
  <c r="H208" i="2"/>
  <c r="F209" i="2"/>
  <c r="H209" i="2" l="1"/>
  <c r="G209" i="2"/>
  <c r="F210" i="2"/>
  <c r="F211" i="2" l="1"/>
  <c r="G210" i="2"/>
  <c r="H210" i="2"/>
  <c r="G211" i="2" l="1"/>
  <c r="F212" i="2"/>
  <c r="H211" i="2"/>
  <c r="H212" i="2" l="1"/>
  <c r="G212" i="2"/>
  <c r="F213" i="2"/>
  <c r="H213" i="2" l="1"/>
  <c r="F214" i="2"/>
  <c r="G213" i="2"/>
  <c r="G214" i="2" l="1"/>
  <c r="H214" i="2"/>
  <c r="F215" i="2"/>
  <c r="F216" i="2" l="1"/>
  <c r="G215" i="2"/>
  <c r="H215" i="2"/>
  <c r="F217" i="2" l="1"/>
  <c r="G216" i="2"/>
  <c r="H216" i="2"/>
  <c r="H217" i="2" l="1"/>
  <c r="G217" i="2"/>
  <c r="F218" i="2"/>
  <c r="G218" i="2" l="1"/>
  <c r="H218" i="2"/>
  <c r="F219" i="2"/>
  <c r="F220" i="2" l="1"/>
  <c r="G219" i="2"/>
  <c r="H219" i="2"/>
  <c r="F221" i="2" l="1"/>
  <c r="H220" i="2"/>
  <c r="G220" i="2"/>
  <c r="G221" i="2" l="1"/>
  <c r="H221" i="2"/>
  <c r="F222" i="2"/>
  <c r="G222" i="2" l="1"/>
  <c r="H222" i="2"/>
  <c r="F223" i="2"/>
  <c r="H223" i="2" l="1"/>
  <c r="G223" i="2"/>
  <c r="F224" i="2"/>
  <c r="H224" i="2" l="1"/>
  <c r="G224" i="2"/>
  <c r="F225" i="2"/>
  <c r="F226" i="2" l="1"/>
  <c r="H225" i="2"/>
  <c r="G225" i="2"/>
  <c r="G226" i="2" l="1"/>
  <c r="H226" i="2"/>
  <c r="F227" i="2"/>
  <c r="G227" i="2" l="1"/>
  <c r="H227" i="2"/>
  <c r="F228" i="2"/>
  <c r="G228" i="2" l="1"/>
  <c r="F229" i="2"/>
  <c r="H228" i="2"/>
  <c r="H229" i="2" l="1"/>
  <c r="F230" i="2"/>
  <c r="G229" i="2"/>
  <c r="F231" i="2" l="1"/>
  <c r="H230" i="2"/>
  <c r="G230" i="2"/>
  <c r="F232" i="2" l="1"/>
  <c r="G231" i="2"/>
  <c r="H231" i="2"/>
  <c r="G232" i="2" l="1"/>
  <c r="H232" i="2"/>
  <c r="F233" i="2"/>
  <c r="G233" i="2" l="1"/>
  <c r="H233" i="2"/>
  <c r="F234" i="2"/>
  <c r="H234" i="2" l="1"/>
  <c r="F235" i="2"/>
  <c r="G234" i="2"/>
  <c r="F236" i="2" l="1"/>
  <c r="G235" i="2"/>
  <c r="H235" i="2"/>
  <c r="G236" i="2" l="1"/>
  <c r="H236" i="2"/>
</calcChain>
</file>

<file path=xl/sharedStrings.xml><?xml version="1.0" encoding="utf-8"?>
<sst xmlns="http://schemas.openxmlformats.org/spreadsheetml/2006/main" count="32" uniqueCount="32">
  <si>
    <t>課題１</t>
    <rPh sb="0" eb="2">
      <t>カダイ</t>
    </rPh>
    <phoneticPr fontId="3"/>
  </si>
  <si>
    <t>ｽﾀﾃﾞｨ名:動解析 2(-ﾃﾞﾌｫﾙﾄ-)</t>
  </si>
  <si>
    <t>表示ﾀｲﾌﾟ: 線形動解析 変位 変位1</t>
  </si>
  <si>
    <t xml:space="preserve"> 水曜日</t>
  </si>
  <si>
    <t xml:space="preserve"> 7月 27</t>
  </si>
  <si>
    <t>X ﾀｲﾄﾙ: Hz</t>
  </si>
  <si>
    <t>Y ﾀｲﾄﾙ: URES (m)</t>
  </si>
  <si>
    <t>理論値</t>
    <rPh sb="0" eb="3">
      <t>リロンチ</t>
    </rPh>
    <phoneticPr fontId="4"/>
  </si>
  <si>
    <t>点</t>
  </si>
  <si>
    <t xml:space="preserve"> X</t>
  </si>
  <si>
    <t xml:space="preserve"> Y1 (節点 12236)</t>
  </si>
  <si>
    <t>課題２</t>
  </si>
  <si>
    <t>項目</t>
  </si>
  <si>
    <t>値</t>
  </si>
  <si>
    <t>課題５</t>
  </si>
  <si>
    <t>総解析時間</t>
  </si>
  <si>
    <t>設定値</t>
  </si>
  <si>
    <t>SOLIDWORKS解析値</t>
  </si>
  <si>
    <t>誤差(%)</t>
  </si>
  <si>
    <t>節点数</t>
  </si>
  <si>
    <t>要素数</t>
  </si>
  <si>
    <t>質量(kg)</t>
  </si>
  <si>
    <t>ばね定数(N/m)</t>
  </si>
  <si>
    <t>6.59*10^6</t>
  </si>
  <si>
    <t>ｓｓｓｓ</t>
    <phoneticPr fontId="3"/>
  </si>
  <si>
    <t>式(10.19)</t>
    <rPh sb="0" eb="1">
      <t>シキ</t>
    </rPh>
    <phoneticPr fontId="3"/>
  </si>
  <si>
    <t>SOLIDWORKS解析値(減衰比0.1)</t>
    <rPh sb="10" eb="12">
      <t>カイセキ</t>
    </rPh>
    <rPh sb="12" eb="13">
      <t>チ</t>
    </rPh>
    <phoneticPr fontId="3"/>
  </si>
  <si>
    <t>u (式(10.22))</t>
    <rPh sb="3" eb="4">
      <t>シキ</t>
    </rPh>
    <phoneticPr fontId="4"/>
  </si>
  <si>
    <t>固有振動 式(10.22)</t>
    <rPh sb="0" eb="4">
      <t>コユウシンドウ</t>
    </rPh>
    <rPh sb="5" eb="6">
      <t>シキ</t>
    </rPh>
    <phoneticPr fontId="4"/>
  </si>
  <si>
    <t>振動数f{Hz}</t>
    <rPh sb="0" eb="3">
      <t>シンドウスウ</t>
    </rPh>
    <phoneticPr fontId="4"/>
  </si>
  <si>
    <t>振幅Y[m](減衰比0) (式(10.14)))</t>
    <rPh sb="0" eb="2">
      <t>シンプク</t>
    </rPh>
    <rPh sb="7" eb="10">
      <t>ゲンスイヒ</t>
    </rPh>
    <phoneticPr fontId="4"/>
  </si>
  <si>
    <t>振幅Y[m](減衰比0.1) (式(10.14)))</t>
    <rPh sb="0" eb="2">
      <t>シンプク</t>
    </rPh>
    <rPh sb="7" eb="10">
      <t>ゲンスイヒ</t>
    </rPh>
    <rPh sb="16" eb="17">
      <t>シキ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</si>
</sst>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2" fillId="0" borderId="0" xfId="1">
      <alignment vertical="center"/>
    </xf>
    <xf numFmtId="11" fontId="2" fillId="0" borderId="0" xfId="1" applyNumberFormat="1">
      <alignment vertical="center"/>
    </xf>
    <xf numFmtId="20" fontId="2" fillId="0" borderId="0" xfId="1" applyNumberFormat="1">
      <alignment vertical="center"/>
    </xf>
    <xf numFmtId="21" fontId="2" fillId="0" borderId="0" xfId="1" applyNumberFormat="1">
      <alignment vertical="center"/>
    </xf>
    <xf numFmtId="0" fontId="1" fillId="0" borderId="0" xfId="1" applyFont="1">
      <alignment vertical="center"/>
    </xf>
  </cellXfs>
  <cellStyles count="2">
    <cellStyle name="標準" xfId="0" builtinId="0"/>
    <cellStyle name="標準 2" xfId="1" xr:uid="{095A06B3-39F1-4332-9743-0ED6CC09CC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10.30   SOLIDWORKS</a:t>
            </a:r>
            <a:r>
              <a:rPr lang="ja-JP" altLang="en-US"/>
              <a:t>解析と理論による周波数応答</a:t>
            </a:r>
          </a:p>
        </c:rich>
      </c:tx>
      <c:layout>
        <c:manualLayout>
          <c:xMode val="edge"/>
          <c:yMode val="edge"/>
          <c:x val="0.10559841140698044"/>
          <c:y val="0.87662327948994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1160344011289307"/>
          <c:y val="6.978978978978978E-2"/>
          <c:w val="0.82074327399092628"/>
          <c:h val="0.73322014928314139"/>
        </c:manualLayout>
      </c:layout>
      <c:scatterChart>
        <c:scatterStyle val="lineMarker"/>
        <c:varyColors val="0"/>
        <c:ser>
          <c:idx val="0"/>
          <c:order val="0"/>
          <c:tx>
            <c:strRef>
              <c:f>'応答ｸﾞﾗﾌ-3'!$B$9</c:f>
              <c:strCache>
                <c:ptCount val="1"/>
                <c:pt idx="0">
                  <c:v>SOLIDWORKS解析値(減衰比0.1)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'応答ｸﾞﾗﾌ-3'!$B$11:$B$236</c:f>
              <c:numCache>
                <c:formatCode>General</c:formatCode>
                <c:ptCount val="226"/>
                <c:pt idx="0" formatCode="0.00E+00">
                  <c:v>1.5916999999999999E-6</c:v>
                </c:pt>
                <c:pt idx="1">
                  <c:v>1.81E-3</c:v>
                </c:pt>
                <c:pt idx="2">
                  <c:v>3.7065000000000002E-3</c:v>
                </c:pt>
                <c:pt idx="3">
                  <c:v>5.7034E-3</c:v>
                </c:pt>
                <c:pt idx="4">
                  <c:v>7.8185000000000008E-3</c:v>
                </c:pt>
                <c:pt idx="5">
                  <c:v>1.0076E-2</c:v>
                </c:pt>
                <c:pt idx="6">
                  <c:v>1.2508E-2</c:v>
                </c:pt>
                <c:pt idx="7">
                  <c:v>4.1495999999999998E-2</c:v>
                </c:pt>
                <c:pt idx="8">
                  <c:v>6.7826999999999998E-2</c:v>
                </c:pt>
                <c:pt idx="9">
                  <c:v>7.0483000000000004E-2</c:v>
                </c:pt>
                <c:pt idx="10">
                  <c:v>7.2915999999999995E-2</c:v>
                </c:pt>
                <c:pt idx="11">
                  <c:v>7.5173000000000004E-2</c:v>
                </c:pt>
                <c:pt idx="12">
                  <c:v>7.7287999999999996E-2</c:v>
                </c:pt>
                <c:pt idx="13">
                  <c:v>7.9284999999999994E-2</c:v>
                </c:pt>
                <c:pt idx="14">
                  <c:v>8.1181000000000003E-2</c:v>
                </c:pt>
                <c:pt idx="15">
                  <c:v>8.2990999999999995E-2</c:v>
                </c:pt>
                <c:pt idx="16">
                  <c:v>8.4076999999999999E-2</c:v>
                </c:pt>
                <c:pt idx="17">
                  <c:v>8.5213999999999998E-2</c:v>
                </c:pt>
                <c:pt idx="18">
                  <c:v>8.6412000000000003E-2</c:v>
                </c:pt>
                <c:pt idx="19">
                  <c:v>8.7679999999999994E-2</c:v>
                </c:pt>
                <c:pt idx="20">
                  <c:v>8.9034000000000002E-2</c:v>
                </c:pt>
                <c:pt idx="21">
                  <c:v>9.0492000000000003E-2</c:v>
                </c:pt>
                <c:pt idx="22">
                  <c:v>0.10788</c:v>
                </c:pt>
                <c:pt idx="23">
                  <c:v>0.12367</c:v>
                </c:pt>
                <c:pt idx="24">
                  <c:v>0.12526000000000001</c:v>
                </c:pt>
                <c:pt idx="25">
                  <c:v>0.12672</c:v>
                </c:pt>
                <c:pt idx="26">
                  <c:v>0.12806999999999999</c:v>
                </c:pt>
                <c:pt idx="27">
                  <c:v>0.12934000000000001</c:v>
                </c:pt>
                <c:pt idx="28">
                  <c:v>0.13053999999999999</c:v>
                </c:pt>
                <c:pt idx="29">
                  <c:v>0.13167999999999999</c:v>
                </c:pt>
                <c:pt idx="30">
                  <c:v>0.13275999999999999</c:v>
                </c:pt>
                <c:pt idx="31">
                  <c:v>0.13327</c:v>
                </c:pt>
                <c:pt idx="32">
                  <c:v>0.13381000000000001</c:v>
                </c:pt>
                <c:pt idx="33">
                  <c:v>0.13436999999999999</c:v>
                </c:pt>
                <c:pt idx="34">
                  <c:v>0.13497000000000001</c:v>
                </c:pt>
                <c:pt idx="35">
                  <c:v>0.13561000000000001</c:v>
                </c:pt>
                <c:pt idx="36">
                  <c:v>0.13628999999999999</c:v>
                </c:pt>
                <c:pt idx="37">
                  <c:v>0.14448</c:v>
                </c:pt>
                <c:pt idx="38">
                  <c:v>0.15190999999999999</c:v>
                </c:pt>
                <c:pt idx="39">
                  <c:v>0.15265999999999999</c:v>
                </c:pt>
                <c:pt idx="40">
                  <c:v>0.15334999999999999</c:v>
                </c:pt>
                <c:pt idx="41">
                  <c:v>0.15398999999999999</c:v>
                </c:pt>
                <c:pt idx="42">
                  <c:v>0.15458</c:v>
                </c:pt>
                <c:pt idx="43">
                  <c:v>0.15515000000000001</c:v>
                </c:pt>
                <c:pt idx="44">
                  <c:v>0.15568000000000001</c:v>
                </c:pt>
                <c:pt idx="45">
                  <c:v>0.15619</c:v>
                </c:pt>
                <c:pt idx="46">
                  <c:v>0.17463000000000001</c:v>
                </c:pt>
                <c:pt idx="47">
                  <c:v>0.19395000000000001</c:v>
                </c:pt>
                <c:pt idx="48">
                  <c:v>0.21429000000000001</c:v>
                </c:pt>
                <c:pt idx="49">
                  <c:v>0.23583999999999999</c:v>
                </c:pt>
                <c:pt idx="50">
                  <c:v>0.25883</c:v>
                </c:pt>
                <c:pt idx="51">
                  <c:v>0.28360000000000002</c:v>
                </c:pt>
                <c:pt idx="52">
                  <c:v>0.57887999999999995</c:v>
                </c:pt>
                <c:pt idx="53">
                  <c:v>0.84709999999999996</c:v>
                </c:pt>
                <c:pt idx="54">
                  <c:v>0.87416000000000005</c:v>
                </c:pt>
                <c:pt idx="55">
                  <c:v>0.89893999999999996</c:v>
                </c:pt>
                <c:pt idx="56">
                  <c:v>0.92193000000000003</c:v>
                </c:pt>
                <c:pt idx="57">
                  <c:v>0.94347000000000003</c:v>
                </c:pt>
                <c:pt idx="58">
                  <c:v>0.96380999999999994</c:v>
                </c:pt>
                <c:pt idx="59">
                  <c:v>0.98312999999999995</c:v>
                </c:pt>
                <c:pt idx="60">
                  <c:v>1.0016</c:v>
                </c:pt>
                <c:pt idx="61">
                  <c:v>1.0368999999999999</c:v>
                </c:pt>
                <c:pt idx="62">
                  <c:v>1.0740000000000001</c:v>
                </c:pt>
                <c:pt idx="63">
                  <c:v>1.113</c:v>
                </c:pt>
                <c:pt idx="64">
                  <c:v>1.1544000000000001</c:v>
                </c:pt>
                <c:pt idx="65">
                  <c:v>1.1984999999999999</c:v>
                </c:pt>
                <c:pt idx="66">
                  <c:v>1.2461</c:v>
                </c:pt>
                <c:pt idx="67">
                  <c:v>1.8127</c:v>
                </c:pt>
                <c:pt idx="68">
                  <c:v>2.3273000000000001</c:v>
                </c:pt>
                <c:pt idx="69">
                  <c:v>2.3793000000000002</c:v>
                </c:pt>
                <c:pt idx="70">
                  <c:v>2.4268000000000001</c:v>
                </c:pt>
                <c:pt idx="71">
                  <c:v>2.4708999999999999</c:v>
                </c:pt>
                <c:pt idx="72">
                  <c:v>2.5123000000000002</c:v>
                </c:pt>
                <c:pt idx="73">
                  <c:v>2.5512999999999999</c:v>
                </c:pt>
                <c:pt idx="74">
                  <c:v>2.5884</c:v>
                </c:pt>
                <c:pt idx="75">
                  <c:v>2.6236999999999999</c:v>
                </c:pt>
                <c:pt idx="76">
                  <c:v>2.6259999999999999</c:v>
                </c:pt>
                <c:pt idx="77">
                  <c:v>2.6282999999999999</c:v>
                </c:pt>
                <c:pt idx="78">
                  <c:v>2.6307999999999998</c:v>
                </c:pt>
                <c:pt idx="79">
                  <c:v>2.6334</c:v>
                </c:pt>
                <c:pt idx="80">
                  <c:v>2.6362000000000001</c:v>
                </c:pt>
                <c:pt idx="81">
                  <c:v>2.6392000000000002</c:v>
                </c:pt>
                <c:pt idx="82">
                  <c:v>2.6749999999999998</c:v>
                </c:pt>
                <c:pt idx="83">
                  <c:v>2.7075999999999998</c:v>
                </c:pt>
                <c:pt idx="84">
                  <c:v>2.7109000000000001</c:v>
                </c:pt>
                <c:pt idx="85">
                  <c:v>2.7139000000000002</c:v>
                </c:pt>
                <c:pt idx="86">
                  <c:v>2.7166999999999999</c:v>
                </c:pt>
                <c:pt idx="87">
                  <c:v>2.7193000000000001</c:v>
                </c:pt>
                <c:pt idx="88">
                  <c:v>2.7218</c:v>
                </c:pt>
                <c:pt idx="89">
                  <c:v>2.7241</c:v>
                </c:pt>
                <c:pt idx="90">
                  <c:v>2.7263000000000002</c:v>
                </c:pt>
                <c:pt idx="91">
                  <c:v>2.7808000000000002</c:v>
                </c:pt>
                <c:pt idx="92">
                  <c:v>2.8378000000000001</c:v>
                </c:pt>
                <c:pt idx="93">
                  <c:v>2.8978000000000002</c:v>
                </c:pt>
                <c:pt idx="94">
                  <c:v>2.9613999999999998</c:v>
                </c:pt>
                <c:pt idx="95">
                  <c:v>3.0293000000000001</c:v>
                </c:pt>
                <c:pt idx="96">
                  <c:v>3.1023999999999998</c:v>
                </c:pt>
                <c:pt idx="97">
                  <c:v>3.9739</c:v>
                </c:pt>
                <c:pt idx="98">
                  <c:v>4.7655000000000003</c:v>
                </c:pt>
                <c:pt idx="99">
                  <c:v>4.8452999999999999</c:v>
                </c:pt>
                <c:pt idx="100">
                  <c:v>4.9184999999999999</c:v>
                </c:pt>
                <c:pt idx="101">
                  <c:v>4.9863</c:v>
                </c:pt>
                <c:pt idx="102">
                  <c:v>5.0499000000000001</c:v>
                </c:pt>
                <c:pt idx="103">
                  <c:v>5.1100000000000003</c:v>
                </c:pt>
                <c:pt idx="104">
                  <c:v>5.1669999999999998</c:v>
                </c:pt>
                <c:pt idx="105">
                  <c:v>5.2214</c:v>
                </c:pt>
                <c:pt idx="106">
                  <c:v>5.2239000000000004</c:v>
                </c:pt>
                <c:pt idx="107">
                  <c:v>5.2266000000000004</c:v>
                </c:pt>
                <c:pt idx="108">
                  <c:v>5.2294</c:v>
                </c:pt>
                <c:pt idx="109">
                  <c:v>5.2323000000000004</c:v>
                </c:pt>
                <c:pt idx="110">
                  <c:v>5.2355</c:v>
                </c:pt>
                <c:pt idx="111">
                  <c:v>5.2389000000000001</c:v>
                </c:pt>
                <c:pt idx="112">
                  <c:v>5.2793999999999999</c:v>
                </c:pt>
                <c:pt idx="113">
                  <c:v>5.3160999999999996</c:v>
                </c:pt>
                <c:pt idx="114">
                  <c:v>5.3198999999999996</c:v>
                </c:pt>
                <c:pt idx="115">
                  <c:v>5.3232999999999997</c:v>
                </c:pt>
                <c:pt idx="116">
                  <c:v>5.3263999999999996</c:v>
                </c:pt>
                <c:pt idx="117">
                  <c:v>5.3293999999999997</c:v>
                </c:pt>
                <c:pt idx="118">
                  <c:v>5.3320999999999996</c:v>
                </c:pt>
                <c:pt idx="119">
                  <c:v>5.3348000000000004</c:v>
                </c:pt>
                <c:pt idx="120">
                  <c:v>5.3372999999999999</c:v>
                </c:pt>
                <c:pt idx="121">
                  <c:v>5.4127999999999998</c:v>
                </c:pt>
                <c:pt idx="122">
                  <c:v>5.4919000000000002</c:v>
                </c:pt>
                <c:pt idx="123">
                  <c:v>5.5751999999999997</c:v>
                </c:pt>
                <c:pt idx="124">
                  <c:v>5.6635</c:v>
                </c:pt>
                <c:pt idx="125">
                  <c:v>5.7576000000000001</c:v>
                </c:pt>
                <c:pt idx="126">
                  <c:v>5.8590999999999998</c:v>
                </c:pt>
                <c:pt idx="127">
                  <c:v>7.0682</c:v>
                </c:pt>
                <c:pt idx="128">
                  <c:v>8.1664999999999992</c:v>
                </c:pt>
                <c:pt idx="129">
                  <c:v>8.2773000000000003</c:v>
                </c:pt>
                <c:pt idx="130">
                  <c:v>8.3788</c:v>
                </c:pt>
                <c:pt idx="131">
                  <c:v>8.4728999999999992</c:v>
                </c:pt>
                <c:pt idx="132">
                  <c:v>8.5610999999999997</c:v>
                </c:pt>
                <c:pt idx="133">
                  <c:v>8.6443999999999992</c:v>
                </c:pt>
                <c:pt idx="134">
                  <c:v>8.7234999999999996</c:v>
                </c:pt>
                <c:pt idx="135">
                  <c:v>8.7989999999999995</c:v>
                </c:pt>
                <c:pt idx="136">
                  <c:v>8.8000000000000007</c:v>
                </c:pt>
                <c:pt idx="137">
                  <c:v>8.8010000000000002</c:v>
                </c:pt>
                <c:pt idx="138">
                  <c:v>8.8019999999999996</c:v>
                </c:pt>
                <c:pt idx="139">
                  <c:v>8.8031000000000006</c:v>
                </c:pt>
                <c:pt idx="140">
                  <c:v>8.8042999999999996</c:v>
                </c:pt>
                <c:pt idx="141">
                  <c:v>8.8056000000000001</c:v>
                </c:pt>
                <c:pt idx="142">
                  <c:v>8.8208000000000002</c:v>
                </c:pt>
                <c:pt idx="143">
                  <c:v>8.8346</c:v>
                </c:pt>
                <c:pt idx="144">
                  <c:v>8.8360000000000003</c:v>
                </c:pt>
                <c:pt idx="145">
                  <c:v>8.8373000000000008</c:v>
                </c:pt>
                <c:pt idx="146">
                  <c:v>8.8384</c:v>
                </c:pt>
                <c:pt idx="147">
                  <c:v>8.8396000000000008</c:v>
                </c:pt>
                <c:pt idx="148">
                  <c:v>8.8406000000000002</c:v>
                </c:pt>
                <c:pt idx="149">
                  <c:v>8.8415999999999997</c:v>
                </c:pt>
                <c:pt idx="150">
                  <c:v>8.8424999999999994</c:v>
                </c:pt>
                <c:pt idx="151">
                  <c:v>8.9364000000000008</c:v>
                </c:pt>
                <c:pt idx="152">
                  <c:v>9.0347000000000008</c:v>
                </c:pt>
                <c:pt idx="153">
                  <c:v>9.1381999999999994</c:v>
                </c:pt>
                <c:pt idx="154">
                  <c:v>9.2478999999999996</c:v>
                </c:pt>
                <c:pt idx="155">
                  <c:v>9.3649000000000004</c:v>
                </c:pt>
                <c:pt idx="156">
                  <c:v>9.4909999999999997</c:v>
                </c:pt>
                <c:pt idx="157">
                  <c:v>10.994</c:v>
                </c:pt>
                <c:pt idx="158">
                  <c:v>12.359</c:v>
                </c:pt>
                <c:pt idx="159">
                  <c:v>12.496</c:v>
                </c:pt>
                <c:pt idx="160">
                  <c:v>12.622999999999999</c:v>
                </c:pt>
                <c:pt idx="161">
                  <c:v>12.74</c:v>
                </c:pt>
                <c:pt idx="162">
                  <c:v>12.849</c:v>
                </c:pt>
                <c:pt idx="163">
                  <c:v>12.952999999999999</c:v>
                </c:pt>
                <c:pt idx="164">
                  <c:v>13.051</c:v>
                </c:pt>
                <c:pt idx="165">
                  <c:v>13.145</c:v>
                </c:pt>
                <c:pt idx="166">
                  <c:v>13.146000000000001</c:v>
                </c:pt>
                <c:pt idx="167">
                  <c:v>13.148</c:v>
                </c:pt>
                <c:pt idx="168">
                  <c:v>13.148999999999999</c:v>
                </c:pt>
                <c:pt idx="169">
                  <c:v>13.151</c:v>
                </c:pt>
                <c:pt idx="170">
                  <c:v>13.151999999999999</c:v>
                </c:pt>
                <c:pt idx="171">
                  <c:v>13.154</c:v>
                </c:pt>
                <c:pt idx="172">
                  <c:v>13.176</c:v>
                </c:pt>
                <c:pt idx="173">
                  <c:v>13.196</c:v>
                </c:pt>
                <c:pt idx="174">
                  <c:v>13.198</c:v>
                </c:pt>
                <c:pt idx="175">
                  <c:v>13.2</c:v>
                </c:pt>
                <c:pt idx="176">
                  <c:v>13.202</c:v>
                </c:pt>
                <c:pt idx="177">
                  <c:v>13.202999999999999</c:v>
                </c:pt>
                <c:pt idx="178">
                  <c:v>13.205</c:v>
                </c:pt>
                <c:pt idx="179">
                  <c:v>13.206</c:v>
                </c:pt>
                <c:pt idx="180">
                  <c:v>13.208</c:v>
                </c:pt>
                <c:pt idx="181">
                  <c:v>13.32</c:v>
                </c:pt>
                <c:pt idx="182">
                  <c:v>13.438000000000001</c:v>
                </c:pt>
                <c:pt idx="183">
                  <c:v>13.561999999999999</c:v>
                </c:pt>
                <c:pt idx="184">
                  <c:v>13.693</c:v>
                </c:pt>
                <c:pt idx="185">
                  <c:v>13.834</c:v>
                </c:pt>
                <c:pt idx="186">
                  <c:v>13.984999999999999</c:v>
                </c:pt>
                <c:pt idx="187">
                  <c:v>15.785</c:v>
                </c:pt>
                <c:pt idx="188">
                  <c:v>17.420999999999999</c:v>
                </c:pt>
                <c:pt idx="189">
                  <c:v>17.585999999999999</c:v>
                </c:pt>
                <c:pt idx="190">
                  <c:v>17.736999999999998</c:v>
                </c:pt>
                <c:pt idx="191">
                  <c:v>17.876999999999999</c:v>
                </c:pt>
                <c:pt idx="192">
                  <c:v>18.009</c:v>
                </c:pt>
                <c:pt idx="193">
                  <c:v>18.132999999999999</c:v>
                </c:pt>
                <c:pt idx="194">
                  <c:v>18.251000000000001</c:v>
                </c:pt>
                <c:pt idx="195">
                  <c:v>18.363</c:v>
                </c:pt>
                <c:pt idx="196">
                  <c:v>18.364999999999998</c:v>
                </c:pt>
                <c:pt idx="197">
                  <c:v>18.367000000000001</c:v>
                </c:pt>
                <c:pt idx="198">
                  <c:v>18.369</c:v>
                </c:pt>
                <c:pt idx="199">
                  <c:v>18.370999999999999</c:v>
                </c:pt>
                <c:pt idx="200">
                  <c:v>18.373000000000001</c:v>
                </c:pt>
                <c:pt idx="201">
                  <c:v>18.376000000000001</c:v>
                </c:pt>
                <c:pt idx="202">
                  <c:v>18.405999999999999</c:v>
                </c:pt>
                <c:pt idx="203">
                  <c:v>18.433</c:v>
                </c:pt>
                <c:pt idx="204">
                  <c:v>18.436</c:v>
                </c:pt>
                <c:pt idx="205">
                  <c:v>18.437999999999999</c:v>
                </c:pt>
                <c:pt idx="206">
                  <c:v>18.440999999999999</c:v>
                </c:pt>
                <c:pt idx="207">
                  <c:v>18.443000000000001</c:v>
                </c:pt>
                <c:pt idx="208">
                  <c:v>18.445</c:v>
                </c:pt>
                <c:pt idx="209">
                  <c:v>18.446999999999999</c:v>
                </c:pt>
                <c:pt idx="210">
                  <c:v>18.449000000000002</c:v>
                </c:pt>
                <c:pt idx="211">
                  <c:v>18.483000000000001</c:v>
                </c:pt>
                <c:pt idx="212">
                  <c:v>18.518000000000001</c:v>
                </c:pt>
                <c:pt idx="213">
                  <c:v>18.555</c:v>
                </c:pt>
                <c:pt idx="214">
                  <c:v>18.594999999999999</c:v>
                </c:pt>
                <c:pt idx="215">
                  <c:v>18.637</c:v>
                </c:pt>
                <c:pt idx="216">
                  <c:v>18.683</c:v>
                </c:pt>
                <c:pt idx="217">
                  <c:v>19.224</c:v>
                </c:pt>
                <c:pt idx="218">
                  <c:v>19.716999999999999</c:v>
                </c:pt>
                <c:pt idx="219">
                  <c:v>19.765999999999998</c:v>
                </c:pt>
                <c:pt idx="220">
                  <c:v>19.812000000000001</c:v>
                </c:pt>
                <c:pt idx="221">
                  <c:v>19.853999999999999</c:v>
                </c:pt>
                <c:pt idx="222">
                  <c:v>19.893000000000001</c:v>
                </c:pt>
                <c:pt idx="223">
                  <c:v>19.931000000000001</c:v>
                </c:pt>
                <c:pt idx="224">
                  <c:v>19.966000000000001</c:v>
                </c:pt>
                <c:pt idx="225">
                  <c:v>20</c:v>
                </c:pt>
              </c:numCache>
            </c:numRef>
          </c:xVal>
          <c:yVal>
            <c:numRef>
              <c:f>'応答ｸﾞﾗﾌ-3'!$C$11:$C$236</c:f>
              <c:numCache>
                <c:formatCode>0.00E+00</c:formatCode>
                <c:ptCount val="226"/>
                <c:pt idx="0">
                  <c:v>1.5459999999999999E-7</c:v>
                </c:pt>
                <c:pt idx="1">
                  <c:v>1.5459999999999999E-7</c:v>
                </c:pt>
                <c:pt idx="2">
                  <c:v>1.5459999999999999E-7</c:v>
                </c:pt>
                <c:pt idx="3">
                  <c:v>1.5459999999999999E-7</c:v>
                </c:pt>
                <c:pt idx="4">
                  <c:v>1.5459999999999999E-7</c:v>
                </c:pt>
                <c:pt idx="5">
                  <c:v>1.5459999999999999E-7</c:v>
                </c:pt>
                <c:pt idx="6">
                  <c:v>1.5461000000000001E-7</c:v>
                </c:pt>
                <c:pt idx="7">
                  <c:v>1.5473999999999999E-7</c:v>
                </c:pt>
                <c:pt idx="8">
                  <c:v>1.5534000000000001E-7</c:v>
                </c:pt>
                <c:pt idx="9">
                  <c:v>1.5547E-7</c:v>
                </c:pt>
                <c:pt idx="10">
                  <c:v>1.5559999999999999E-7</c:v>
                </c:pt>
                <c:pt idx="11">
                  <c:v>1.5569000000000001E-7</c:v>
                </c:pt>
                <c:pt idx="12">
                  <c:v>1.5571000000000001E-7</c:v>
                </c:pt>
                <c:pt idx="13">
                  <c:v>1.5557999999999999E-7</c:v>
                </c:pt>
                <c:pt idx="14">
                  <c:v>1.5529000000000001E-7</c:v>
                </c:pt>
                <c:pt idx="15">
                  <c:v>1.5487000000000001E-7</c:v>
                </c:pt>
                <c:pt idx="16">
                  <c:v>1.5459000000000001E-7</c:v>
                </c:pt>
                <c:pt idx="17">
                  <c:v>1.5431999999999999E-7</c:v>
                </c:pt>
                <c:pt idx="18">
                  <c:v>1.5407E-7</c:v>
                </c:pt>
                <c:pt idx="19">
                  <c:v>1.5386999999999999E-7</c:v>
                </c:pt>
                <c:pt idx="20">
                  <c:v>1.5372E-7</c:v>
                </c:pt>
                <c:pt idx="21">
                  <c:v>1.5362E-7</c:v>
                </c:pt>
                <c:pt idx="22">
                  <c:v>1.5374E-7</c:v>
                </c:pt>
                <c:pt idx="23">
                  <c:v>1.5398000000000001E-7</c:v>
                </c:pt>
                <c:pt idx="24">
                  <c:v>1.5402E-7</c:v>
                </c:pt>
                <c:pt idx="25">
                  <c:v>1.5405999999999999E-7</c:v>
                </c:pt>
                <c:pt idx="26">
                  <c:v>1.5410000000000001E-7</c:v>
                </c:pt>
                <c:pt idx="27">
                  <c:v>1.5414E-7</c:v>
                </c:pt>
                <c:pt idx="28">
                  <c:v>1.5417999999999999E-7</c:v>
                </c:pt>
                <c:pt idx="29">
                  <c:v>1.5421E-7</c:v>
                </c:pt>
                <c:pt idx="30">
                  <c:v>1.5424999999999999E-7</c:v>
                </c:pt>
                <c:pt idx="31">
                  <c:v>1.5426000000000001E-7</c:v>
                </c:pt>
                <c:pt idx="32">
                  <c:v>1.5426999999999999E-7</c:v>
                </c:pt>
                <c:pt idx="33">
                  <c:v>1.5428999999999999E-7</c:v>
                </c:pt>
                <c:pt idx="34">
                  <c:v>1.543E-7</c:v>
                </c:pt>
                <c:pt idx="35">
                  <c:v>1.5431999999999999E-7</c:v>
                </c:pt>
                <c:pt idx="36">
                  <c:v>1.5433000000000001E-7</c:v>
                </c:pt>
                <c:pt idx="37">
                  <c:v>1.5442E-7</c:v>
                </c:pt>
                <c:pt idx="38">
                  <c:v>1.5445999999999999E-7</c:v>
                </c:pt>
                <c:pt idx="39">
                  <c:v>1.5445999999999999E-7</c:v>
                </c:pt>
                <c:pt idx="40">
                  <c:v>1.5447000000000001E-7</c:v>
                </c:pt>
                <c:pt idx="41">
                  <c:v>1.5447000000000001E-7</c:v>
                </c:pt>
                <c:pt idx="42">
                  <c:v>1.5447000000000001E-7</c:v>
                </c:pt>
                <c:pt idx="43">
                  <c:v>1.5447999999999999E-7</c:v>
                </c:pt>
                <c:pt idx="44">
                  <c:v>1.5447999999999999E-7</c:v>
                </c:pt>
                <c:pt idx="45">
                  <c:v>1.5447999999999999E-7</c:v>
                </c:pt>
                <c:pt idx="46">
                  <c:v>1.5445000000000001E-7</c:v>
                </c:pt>
                <c:pt idx="47">
                  <c:v>1.5445000000000001E-7</c:v>
                </c:pt>
                <c:pt idx="48">
                  <c:v>1.5449E-7</c:v>
                </c:pt>
                <c:pt idx="49">
                  <c:v>1.5454000000000001E-7</c:v>
                </c:pt>
                <c:pt idx="50">
                  <c:v>1.5459999999999999E-7</c:v>
                </c:pt>
                <c:pt idx="51">
                  <c:v>1.5468000000000001E-7</c:v>
                </c:pt>
                <c:pt idx="52">
                  <c:v>1.5615000000000001E-7</c:v>
                </c:pt>
                <c:pt idx="53">
                  <c:v>1.5839E-7</c:v>
                </c:pt>
                <c:pt idx="54">
                  <c:v>1.5865999999999999E-7</c:v>
                </c:pt>
                <c:pt idx="55">
                  <c:v>1.5893000000000001E-7</c:v>
                </c:pt>
                <c:pt idx="56">
                  <c:v>1.5918E-7</c:v>
                </c:pt>
                <c:pt idx="57">
                  <c:v>1.5942000000000001E-7</c:v>
                </c:pt>
                <c:pt idx="58">
                  <c:v>1.5965999999999999E-7</c:v>
                </c:pt>
                <c:pt idx="59">
                  <c:v>1.5989000000000001E-7</c:v>
                </c:pt>
                <c:pt idx="60">
                  <c:v>1.6012000000000001E-7</c:v>
                </c:pt>
                <c:pt idx="61">
                  <c:v>1.6056999999999999E-7</c:v>
                </c:pt>
                <c:pt idx="62">
                  <c:v>1.6105E-7</c:v>
                </c:pt>
                <c:pt idx="63">
                  <c:v>1.6157999999999999E-7</c:v>
                </c:pt>
                <c:pt idx="64">
                  <c:v>1.6217E-7</c:v>
                </c:pt>
                <c:pt idx="65">
                  <c:v>1.6282E-7</c:v>
                </c:pt>
                <c:pt idx="66">
                  <c:v>1.6355000000000001E-7</c:v>
                </c:pt>
                <c:pt idx="67">
                  <c:v>1.7546000000000001E-7</c:v>
                </c:pt>
                <c:pt idx="68">
                  <c:v>1.9291E-7</c:v>
                </c:pt>
                <c:pt idx="69">
                  <c:v>1.9502999999999999E-7</c:v>
                </c:pt>
                <c:pt idx="70">
                  <c:v>1.9696000000000001E-7</c:v>
                </c:pt>
                <c:pt idx="71">
                  <c:v>1.9868999999999999E-7</c:v>
                </c:pt>
                <c:pt idx="72">
                  <c:v>2.0022999999999999E-7</c:v>
                </c:pt>
                <c:pt idx="73">
                  <c:v>2.0158999999999999E-7</c:v>
                </c:pt>
                <c:pt idx="74">
                  <c:v>2.0282000000000001E-7</c:v>
                </c:pt>
                <c:pt idx="75">
                  <c:v>2.0398E-7</c:v>
                </c:pt>
                <c:pt idx="76">
                  <c:v>2.0405999999999999E-7</c:v>
                </c:pt>
                <c:pt idx="77">
                  <c:v>2.0414E-7</c:v>
                </c:pt>
                <c:pt idx="78">
                  <c:v>2.0422000000000001E-7</c:v>
                </c:pt>
                <c:pt idx="79">
                  <c:v>2.0431000000000001E-7</c:v>
                </c:pt>
                <c:pt idx="80">
                  <c:v>2.044E-7</c:v>
                </c:pt>
                <c:pt idx="81">
                  <c:v>2.0450000000000001E-7</c:v>
                </c:pt>
                <c:pt idx="82">
                  <c:v>2.0578000000000001E-7</c:v>
                </c:pt>
                <c:pt idx="83">
                  <c:v>2.0704999999999999E-7</c:v>
                </c:pt>
                <c:pt idx="84">
                  <c:v>2.0718000000000001E-7</c:v>
                </c:pt>
                <c:pt idx="85">
                  <c:v>2.0730999999999999E-7</c:v>
                </c:pt>
                <c:pt idx="86">
                  <c:v>2.0743E-7</c:v>
                </c:pt>
                <c:pt idx="87">
                  <c:v>2.0753999999999999E-7</c:v>
                </c:pt>
                <c:pt idx="88">
                  <c:v>2.0764E-7</c:v>
                </c:pt>
                <c:pt idx="89">
                  <c:v>2.0774999999999999E-7</c:v>
                </c:pt>
                <c:pt idx="90">
                  <c:v>2.0783999999999999E-7</c:v>
                </c:pt>
                <c:pt idx="91">
                  <c:v>2.1040999999999999E-7</c:v>
                </c:pt>
                <c:pt idx="92">
                  <c:v>2.1351000000000001E-7</c:v>
                </c:pt>
                <c:pt idx="93">
                  <c:v>2.1713000000000001E-7</c:v>
                </c:pt>
                <c:pt idx="94">
                  <c:v>2.2130999999999999E-7</c:v>
                </c:pt>
                <c:pt idx="95">
                  <c:v>2.2611E-7</c:v>
                </c:pt>
                <c:pt idx="96">
                  <c:v>2.3166E-7</c:v>
                </c:pt>
                <c:pt idx="97">
                  <c:v>3.4213000000000001E-7</c:v>
                </c:pt>
                <c:pt idx="98">
                  <c:v>6.1959E-7</c:v>
                </c:pt>
                <c:pt idx="99">
                  <c:v>6.6138999999999997E-7</c:v>
                </c:pt>
                <c:pt idx="100">
                  <c:v>6.9841999999999998E-7</c:v>
                </c:pt>
                <c:pt idx="101">
                  <c:v>7.2906999999999995E-7</c:v>
                </c:pt>
                <c:pt idx="102">
                  <c:v>7.5186000000000001E-7</c:v>
                </c:pt>
                <c:pt idx="103">
                  <c:v>7.6578999999999998E-7</c:v>
                </c:pt>
                <c:pt idx="104">
                  <c:v>7.7057999999999996E-7</c:v>
                </c:pt>
                <c:pt idx="105">
                  <c:v>7.6675000000000001E-7</c:v>
                </c:pt>
                <c:pt idx="106">
                  <c:v>7.6637999999999996E-7</c:v>
                </c:pt>
                <c:pt idx="107">
                  <c:v>7.6596000000000001E-7</c:v>
                </c:pt>
                <c:pt idx="108">
                  <c:v>7.6550000000000002E-7</c:v>
                </c:pt>
                <c:pt idx="109">
                  <c:v>7.6499000000000002E-7</c:v>
                </c:pt>
                <c:pt idx="110">
                  <c:v>7.6441999999999996E-7</c:v>
                </c:pt>
                <c:pt idx="111">
                  <c:v>7.6377999999999997E-7</c:v>
                </c:pt>
                <c:pt idx="112">
                  <c:v>7.5379000000000003E-7</c:v>
                </c:pt>
                <c:pt idx="113">
                  <c:v>7.4125E-7</c:v>
                </c:pt>
                <c:pt idx="114">
                  <c:v>7.3980999999999995E-7</c:v>
                </c:pt>
                <c:pt idx="115">
                  <c:v>7.3847999999999998E-7</c:v>
                </c:pt>
                <c:pt idx="116">
                  <c:v>7.3722000000000003E-7</c:v>
                </c:pt>
                <c:pt idx="117">
                  <c:v>7.3602000000000005E-7</c:v>
                </c:pt>
                <c:pt idx="118">
                  <c:v>7.3486999999999996E-7</c:v>
                </c:pt>
                <c:pt idx="119">
                  <c:v>7.3376000000000003E-7</c:v>
                </c:pt>
                <c:pt idx="120">
                  <c:v>7.3269999999999999E-7</c:v>
                </c:pt>
                <c:pt idx="121">
                  <c:v>6.9597E-7</c:v>
                </c:pt>
                <c:pt idx="122">
                  <c:v>6.5072999999999995E-7</c:v>
                </c:pt>
                <c:pt idx="123">
                  <c:v>6.0052000000000003E-7</c:v>
                </c:pt>
                <c:pt idx="124">
                  <c:v>5.4850000000000002E-7</c:v>
                </c:pt>
                <c:pt idx="125">
                  <c:v>4.9699999999999996E-7</c:v>
                </c:pt>
                <c:pt idx="126">
                  <c:v>4.4747000000000002E-7</c:v>
                </c:pt>
                <c:pt idx="127">
                  <c:v>1.7531E-7</c:v>
                </c:pt>
                <c:pt idx="128">
                  <c:v>1.0373E-7</c:v>
                </c:pt>
                <c:pt idx="129">
                  <c:v>9.9289999999999998E-8</c:v>
                </c:pt>
                <c:pt idx="130">
                  <c:v>9.5492999999999994E-8</c:v>
                </c:pt>
                <c:pt idx="131">
                  <c:v>9.2181999999999998E-8</c:v>
                </c:pt>
                <c:pt idx="132">
                  <c:v>8.9248999999999994E-8</c:v>
                </c:pt>
                <c:pt idx="133">
                  <c:v>8.6620000000000004E-8</c:v>
                </c:pt>
                <c:pt idx="134">
                  <c:v>8.4240000000000005E-8</c:v>
                </c:pt>
                <c:pt idx="135">
                  <c:v>8.2068000000000004E-8</c:v>
                </c:pt>
                <c:pt idx="136">
                  <c:v>8.2042000000000001E-8</c:v>
                </c:pt>
                <c:pt idx="137">
                  <c:v>8.2013999999999996E-8</c:v>
                </c:pt>
                <c:pt idx="138">
                  <c:v>8.1984000000000001E-8</c:v>
                </c:pt>
                <c:pt idx="139">
                  <c:v>8.1953000000000006E-8</c:v>
                </c:pt>
                <c:pt idx="140">
                  <c:v>8.1919999999999995E-8</c:v>
                </c:pt>
                <c:pt idx="141">
                  <c:v>8.1883999999999994E-8</c:v>
                </c:pt>
                <c:pt idx="142">
                  <c:v>8.1460000000000003E-8</c:v>
                </c:pt>
                <c:pt idx="143">
                  <c:v>8.1077000000000005E-8</c:v>
                </c:pt>
                <c:pt idx="144">
                  <c:v>8.1039000000000002E-8</c:v>
                </c:pt>
                <c:pt idx="145">
                  <c:v>8.1004000000000002E-8</c:v>
                </c:pt>
                <c:pt idx="146">
                  <c:v>8.0971000000000004E-8</c:v>
                </c:pt>
                <c:pt idx="147">
                  <c:v>8.0940999999999997E-8</c:v>
                </c:pt>
                <c:pt idx="148">
                  <c:v>8.0912000000000003E-8</c:v>
                </c:pt>
                <c:pt idx="149">
                  <c:v>8.0884999999999999E-8</c:v>
                </c:pt>
                <c:pt idx="150">
                  <c:v>8.0858999999999996E-8</c:v>
                </c:pt>
                <c:pt idx="151">
                  <c:v>7.8347999999999995E-8</c:v>
                </c:pt>
                <c:pt idx="152">
                  <c:v>7.5851999999999997E-8</c:v>
                </c:pt>
                <c:pt idx="153">
                  <c:v>7.3363000000000006E-8</c:v>
                </c:pt>
                <c:pt idx="154">
                  <c:v>7.0871E-8</c:v>
                </c:pt>
                <c:pt idx="155">
                  <c:v>6.8360999999999999E-8</c:v>
                </c:pt>
                <c:pt idx="156">
                  <c:v>6.5814999999999997E-8</c:v>
                </c:pt>
                <c:pt idx="157">
                  <c:v>4.4388E-8</c:v>
                </c:pt>
                <c:pt idx="158">
                  <c:v>3.3185999999999997E-8</c:v>
                </c:pt>
                <c:pt idx="159">
                  <c:v>3.2310000000000003E-8</c:v>
                </c:pt>
                <c:pt idx="160">
                  <c:v>3.1540000000000003E-8</c:v>
                </c:pt>
                <c:pt idx="161">
                  <c:v>3.0851000000000003E-8</c:v>
                </c:pt>
                <c:pt idx="162">
                  <c:v>3.0226000000000002E-8</c:v>
                </c:pt>
                <c:pt idx="163">
                  <c:v>2.9655E-8</c:v>
                </c:pt>
                <c:pt idx="164">
                  <c:v>2.9128000000000001E-8</c:v>
                </c:pt>
                <c:pt idx="165">
                  <c:v>2.8638000000000001E-8</c:v>
                </c:pt>
                <c:pt idx="166">
                  <c:v>2.8631E-8</c:v>
                </c:pt>
                <c:pt idx="167">
                  <c:v>2.8623999999999999E-8</c:v>
                </c:pt>
                <c:pt idx="168">
                  <c:v>2.8616E-8</c:v>
                </c:pt>
                <c:pt idx="169">
                  <c:v>2.8608E-8</c:v>
                </c:pt>
                <c:pt idx="170">
                  <c:v>2.8599E-8</c:v>
                </c:pt>
                <c:pt idx="171">
                  <c:v>2.859E-8</c:v>
                </c:pt>
                <c:pt idx="172">
                  <c:v>2.8477999999999999E-8</c:v>
                </c:pt>
                <c:pt idx="173">
                  <c:v>2.8375999999999999E-8</c:v>
                </c:pt>
                <c:pt idx="174">
                  <c:v>2.8366000000000001E-8</c:v>
                </c:pt>
                <c:pt idx="175">
                  <c:v>2.8357E-8</c:v>
                </c:pt>
                <c:pt idx="176">
                  <c:v>2.8348E-8</c:v>
                </c:pt>
                <c:pt idx="177">
                  <c:v>2.8340000000000001E-8</c:v>
                </c:pt>
                <c:pt idx="178">
                  <c:v>2.8333E-8</c:v>
                </c:pt>
                <c:pt idx="179">
                  <c:v>2.8325000000000001E-8</c:v>
                </c:pt>
                <c:pt idx="180">
                  <c:v>2.8317999999999999E-8</c:v>
                </c:pt>
                <c:pt idx="181">
                  <c:v>2.7759000000000001E-8</c:v>
                </c:pt>
                <c:pt idx="182">
                  <c:v>2.7190999999999998E-8</c:v>
                </c:pt>
                <c:pt idx="183">
                  <c:v>2.6612E-8</c:v>
                </c:pt>
                <c:pt idx="184">
                  <c:v>2.6020000000000001E-8</c:v>
                </c:pt>
                <c:pt idx="185">
                  <c:v>2.5410999999999998E-8</c:v>
                </c:pt>
                <c:pt idx="186">
                  <c:v>2.4779E-8</c:v>
                </c:pt>
                <c:pt idx="187">
                  <c:v>1.8813000000000001E-8</c:v>
                </c:pt>
                <c:pt idx="188">
                  <c:v>1.5122999999999999E-8</c:v>
                </c:pt>
                <c:pt idx="189">
                  <c:v>1.4814E-8</c:v>
                </c:pt>
                <c:pt idx="190">
                  <c:v>1.4539E-8</c:v>
                </c:pt>
                <c:pt idx="191">
                  <c:v>1.4292E-8</c:v>
                </c:pt>
                <c:pt idx="192">
                  <c:v>1.4065000000000001E-8</c:v>
                </c:pt>
                <c:pt idx="193">
                  <c:v>1.3857E-8</c:v>
                </c:pt>
                <c:pt idx="194">
                  <c:v>1.3663E-8</c:v>
                </c:pt>
                <c:pt idx="195">
                  <c:v>1.3482E-8</c:v>
                </c:pt>
                <c:pt idx="196">
                  <c:v>1.3478999999999999E-8</c:v>
                </c:pt>
                <c:pt idx="197">
                  <c:v>1.3475999999999999E-8</c:v>
                </c:pt>
                <c:pt idx="198">
                  <c:v>1.3472E-8</c:v>
                </c:pt>
                <c:pt idx="199">
                  <c:v>1.3469E-8</c:v>
                </c:pt>
                <c:pt idx="200">
                  <c:v>1.3465E-8</c:v>
                </c:pt>
                <c:pt idx="201">
                  <c:v>1.3461000000000001E-8</c:v>
                </c:pt>
                <c:pt idx="202">
                  <c:v>1.3414E-8</c:v>
                </c:pt>
                <c:pt idx="203">
                  <c:v>1.3370999999999999E-8</c:v>
                </c:pt>
                <c:pt idx="204">
                  <c:v>1.3366E-8</c:v>
                </c:pt>
                <c:pt idx="205">
                  <c:v>1.3362000000000001E-8</c:v>
                </c:pt>
                <c:pt idx="206">
                  <c:v>1.3359000000000001E-8</c:v>
                </c:pt>
                <c:pt idx="207">
                  <c:v>1.3354999999999999E-8</c:v>
                </c:pt>
                <c:pt idx="208">
                  <c:v>1.3351999999999999E-8</c:v>
                </c:pt>
                <c:pt idx="209">
                  <c:v>1.3348999999999999E-8</c:v>
                </c:pt>
                <c:pt idx="210">
                  <c:v>1.3345999999999999E-8</c:v>
                </c:pt>
                <c:pt idx="211">
                  <c:v>1.3293E-8</c:v>
                </c:pt>
                <c:pt idx="212">
                  <c:v>1.3238000000000001E-8</c:v>
                </c:pt>
                <c:pt idx="213">
                  <c:v>1.318E-8</c:v>
                </c:pt>
                <c:pt idx="214">
                  <c:v>1.3119999999999999E-8</c:v>
                </c:pt>
                <c:pt idx="215">
                  <c:v>1.3055E-8</c:v>
                </c:pt>
                <c:pt idx="216">
                  <c:v>1.2987000000000001E-8</c:v>
                </c:pt>
                <c:pt idx="217">
                  <c:v>1.2209E-8</c:v>
                </c:pt>
                <c:pt idx="218">
                  <c:v>1.1563000000000001E-8</c:v>
                </c:pt>
                <c:pt idx="219">
                  <c:v>1.15E-8</c:v>
                </c:pt>
                <c:pt idx="220">
                  <c:v>1.1444E-8</c:v>
                </c:pt>
                <c:pt idx="221">
                  <c:v>1.1392E-8</c:v>
                </c:pt>
                <c:pt idx="222">
                  <c:v>1.1342999999999999E-8</c:v>
                </c:pt>
                <c:pt idx="223">
                  <c:v>1.1298E-8</c:v>
                </c:pt>
                <c:pt idx="224">
                  <c:v>1.1255000000000001E-8</c:v>
                </c:pt>
                <c:pt idx="225">
                  <c:v>1.1214E-8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9E-47BC-A0F0-6BC4A8DF2695}"/>
            </c:ext>
          </c:extLst>
        </c:ser>
        <c:ser>
          <c:idx val="1"/>
          <c:order val="1"/>
          <c:tx>
            <c:strRef>
              <c:f>'応答ｸﾞﾗﾌ-3'!$G$10</c:f>
              <c:strCache>
                <c:ptCount val="1"/>
                <c:pt idx="0">
                  <c:v>振幅Y[m](減衰比0) (式(10.14)))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'応答ｸﾞﾗﾌ-3'!$F$11:$F$236</c:f>
              <c:numCache>
                <c:formatCode>General</c:formatCode>
                <c:ptCount val="22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  <c:pt idx="215">
                  <c:v>21.500000000000036</c:v>
                </c:pt>
                <c:pt idx="216">
                  <c:v>21.600000000000037</c:v>
                </c:pt>
                <c:pt idx="217">
                  <c:v>21.700000000000038</c:v>
                </c:pt>
                <c:pt idx="218">
                  <c:v>21.80000000000004</c:v>
                </c:pt>
                <c:pt idx="219">
                  <c:v>21.900000000000041</c:v>
                </c:pt>
                <c:pt idx="220">
                  <c:v>22.000000000000043</c:v>
                </c:pt>
                <c:pt idx="221">
                  <c:v>22.100000000000044</c:v>
                </c:pt>
                <c:pt idx="222">
                  <c:v>22.200000000000045</c:v>
                </c:pt>
                <c:pt idx="223">
                  <c:v>22.300000000000047</c:v>
                </c:pt>
                <c:pt idx="224">
                  <c:v>22.400000000000048</c:v>
                </c:pt>
                <c:pt idx="225">
                  <c:v>22.50000000000005</c:v>
                </c:pt>
              </c:numCache>
            </c:numRef>
          </c:xVal>
          <c:yVal>
            <c:numRef>
              <c:f>'応答ｸﾞﾗﾌ-3'!$G$11:$G$236</c:f>
              <c:numCache>
                <c:formatCode>0.00E+00</c:formatCode>
                <c:ptCount val="226"/>
                <c:pt idx="0">
                  <c:v>1.5200000000000001E-7</c:v>
                </c:pt>
                <c:pt idx="1">
                  <c:v>1.5205580357142859E-7</c:v>
                </c:pt>
                <c:pt idx="2">
                  <c:v>1.5222346040193471E-7</c:v>
                </c:pt>
                <c:pt idx="3">
                  <c:v>1.5250371155885472E-7</c:v>
                </c:pt>
                <c:pt idx="4">
                  <c:v>1.5289780127286959E-7</c:v>
                </c:pt>
                <c:pt idx="5">
                  <c:v>1.534074908142705E-7</c:v>
                </c:pt>
                <c:pt idx="6">
                  <c:v>1.5403507832373812E-7</c:v>
                </c:pt>
                <c:pt idx="7">
                  <c:v>1.547834250179383E-7</c:v>
                </c:pt>
                <c:pt idx="8">
                  <c:v>1.5565598833451092E-7</c:v>
                </c:pt>
                <c:pt idx="9">
                  <c:v>1.5665686274509806E-7</c:v>
                </c:pt>
                <c:pt idx="10">
                  <c:v>1.577908291553009E-7</c:v>
                </c:pt>
                <c:pt idx="11">
                  <c:v>1.590634140346565E-7</c:v>
                </c:pt>
                <c:pt idx="12">
                  <c:v>1.6048095968754361E-7</c:v>
                </c:pt>
                <c:pt idx="13">
                  <c:v>1.6205070739952423E-7</c:v>
                </c:pt>
                <c:pt idx="14">
                  <c:v>1.6378089558849119E-7</c:v>
                </c:pt>
                <c:pt idx="15">
                  <c:v>1.6568087557603686E-7</c:v>
                </c:pt>
                <c:pt idx="16">
                  <c:v>1.6776124819753408E-7</c:v>
                </c:pt>
                <c:pt idx="17">
                  <c:v>1.700340252233316E-7</c:v>
                </c:pt>
                <c:pt idx="18">
                  <c:v>1.7251282051282055E-7</c:v>
                </c:pt>
                <c:pt idx="19">
                  <c:v>1.7521307702720999E-7</c:v>
                </c:pt>
                <c:pt idx="20">
                  <c:v>1.7815233736515204E-7</c:v>
                </c:pt>
                <c:pt idx="21">
                  <c:v>1.8135056746532161E-7</c:v>
                </c:pt>
                <c:pt idx="22">
                  <c:v>1.848305456882241E-7</c:v>
                </c:pt>
                <c:pt idx="23">
                  <c:v>1.8861833284756635E-7</c:v>
                </c:pt>
                <c:pt idx="24">
                  <c:v>1.9274384318981408E-7</c:v>
                </c:pt>
                <c:pt idx="25">
                  <c:v>1.9724154221274007E-7</c:v>
                </c:pt>
                <c:pt idx="26">
                  <c:v>2.0215130512875585E-7</c:v>
                </c:pt>
                <c:pt idx="27">
                  <c:v>2.0751948051948061E-7</c:v>
                </c:pt>
                <c:pt idx="28">
                  <c:v>2.1340021846210927E-7</c:v>
                </c:pt>
                <c:pt idx="29">
                  <c:v>2.1985714285714297E-7</c:v>
                </c:pt>
                <c:pt idx="30">
                  <c:v>2.2696547642533055E-7</c:v>
                </c:pt>
                <c:pt idx="31">
                  <c:v>2.3481476777939062E-7</c:v>
                </c:pt>
                <c:pt idx="32">
                  <c:v>2.4351242915265414E-7</c:v>
                </c:pt>
                <c:pt idx="33">
                  <c:v>2.5318838028169034E-7</c:v>
                </c:pt>
                <c:pt idx="34">
                  <c:v>2.6400122383417072E-7</c:v>
                </c:pt>
                <c:pt idx="35">
                  <c:v>2.7614657563473463E-7</c:v>
                </c:pt>
                <c:pt idx="36">
                  <c:v>2.8986848072562388E-7</c:v>
                </c:pt>
                <c:pt idx="37">
                  <c:v>3.0547533632287035E-7</c:v>
                </c:pt>
                <c:pt idx="38">
                  <c:v>3.2336254333093955E-7</c:v>
                </c:pt>
                <c:pt idx="39">
                  <c:v>3.4404545454545511E-7</c:v>
                </c:pt>
                <c:pt idx="40">
                  <c:v>3.6820852743501345E-7</c:v>
                </c:pt>
                <c:pt idx="41">
                  <c:v>3.9678080931943641E-7</c:v>
                </c:pt>
                <c:pt idx="42">
                  <c:v>4.3105582615211743E-7</c:v>
                </c:pt>
                <c:pt idx="43">
                  <c:v>4.7288966021191137E-7</c:v>
                </c:pt>
                <c:pt idx="44">
                  <c:v>5.2504396328786613E-7</c:v>
                </c:pt>
                <c:pt idx="45">
                  <c:v>5.9181481481481504E-7</c:v>
                </c:pt>
                <c:pt idx="46">
                  <c:v>6.8027015307798433E-7</c:v>
                </c:pt>
                <c:pt idx="47">
                  <c:v>8.0291501240694756E-7</c:v>
                </c:pt>
                <c:pt idx="48">
                  <c:v>9.841642429426847E-7</c:v>
                </c:pt>
                <c:pt idx="49">
                  <c:v>1.2789515810276638E-6</c:v>
                </c:pt>
                <c:pt idx="50">
                  <c:v>1.8420907311866103E-6</c:v>
                </c:pt>
                <c:pt idx="51">
                  <c:v>3.3444418604650583E-6</c:v>
                </c:pt>
                <c:pt idx="52">
                  <c:v>1.9874072936657941E-5</c:v>
                </c:pt>
                <c:pt idx="53">
                  <c:v>4.9212889733841992E-6</c:v>
                </c:pt>
                <c:pt idx="54">
                  <c:v>2.1666440677966459E-6</c:v>
                </c:pt>
                <c:pt idx="55">
                  <c:v>1.3798496801705921E-6</c:v>
                </c:pt>
                <c:pt idx="56">
                  <c:v>1.0073345656192338E-6</c:v>
                </c:pt>
                <c:pt idx="57">
                  <c:v>7.9017032967033691E-7</c:v>
                </c:pt>
                <c:pt idx="58">
                  <c:v>6.4800000000000517E-7</c:v>
                </c:pt>
                <c:pt idx="59">
                  <c:v>5.4773550571308052E-7</c:v>
                </c:pt>
                <c:pt idx="60">
                  <c:v>4.7325709584533437E-7</c:v>
                </c:pt>
                <c:pt idx="61">
                  <c:v>4.1577224542242487E-7</c:v>
                </c:pt>
                <c:pt idx="62">
                  <c:v>3.7007727223989645E-7</c:v>
                </c:pt>
                <c:pt idx="63">
                  <c:v>3.3289583333333541E-7</c:v>
                </c:pt>
                <c:pt idx="64">
                  <c:v>3.0206225385804899E-7</c:v>
                </c:pt>
                <c:pt idx="65">
                  <c:v>2.7608767064846582E-7</c:v>
                </c:pt>
                <c:pt idx="66">
                  <c:v>2.5391480909291687E-7</c:v>
                </c:pt>
                <c:pt idx="67">
                  <c:v>2.3477217485942451E-7</c:v>
                </c:pt>
                <c:pt idx="68">
                  <c:v>2.1808361591440546E-7</c:v>
                </c:pt>
                <c:pt idx="69">
                  <c:v>2.034101838755315E-7</c:v>
                </c:pt>
                <c:pt idx="70">
                  <c:v>1.9041159271042231E-7</c:v>
                </c:pt>
                <c:pt idx="71">
                  <c:v>1.7881997789444695E-7</c:v>
                </c:pt>
                <c:pt idx="72">
                  <c:v>1.6842160737812999E-7</c:v>
                </c:pt>
                <c:pt idx="73">
                  <c:v>1.590438682723036E-7</c:v>
                </c:pt>
                <c:pt idx="74">
                  <c:v>1.5054583521132981E-7</c:v>
                </c:pt>
                <c:pt idx="75">
                  <c:v>1.4281132075471773E-7</c:v>
                </c:pt>
                <c:pt idx="76">
                  <c:v>1.3574367781434022E-7</c:v>
                </c:pt>
                <c:pt idx="77">
                  <c:v>1.2926185958254342E-7</c:v>
                </c:pt>
                <c:pt idx="78">
                  <c:v>1.2329739577751648E-7</c:v>
                </c:pt>
                <c:pt idx="79">
                  <c:v>1.1779204586822053E-7</c:v>
                </c:pt>
                <c:pt idx="80">
                  <c:v>1.1269595881539912E-7</c:v>
                </c:pt>
                <c:pt idx="81">
                  <c:v>1.0796621621621682E-7</c:v>
                </c:pt>
                <c:pt idx="82">
                  <c:v>1.0356566879044657E-7</c:v>
                </c:pt>
                <c:pt idx="83">
                  <c:v>9.9461999538923168E-8</c:v>
                </c:pt>
                <c:pt idx="84">
                  <c:v>9.5626963677167846E-8</c:v>
                </c:pt>
                <c:pt idx="85">
                  <c:v>9.2035767617151891E-8</c:v>
                </c:pt>
                <c:pt idx="86">
                  <c:v>8.8666558199676775E-8</c:v>
                </c:pt>
                <c:pt idx="87">
                  <c:v>8.5500000000000455E-8</c:v>
                </c:pt>
                <c:pt idx="88">
                  <c:v>8.2518923485205127E-8</c:v>
                </c:pt>
                <c:pt idx="89">
                  <c:v>7.9708030545634131E-8</c:v>
                </c:pt>
                <c:pt idx="90">
                  <c:v>7.7053646775166168E-8</c:v>
                </c:pt>
                <c:pt idx="91">
                  <c:v>7.4543512065887621E-8</c:v>
                </c:pt>
                <c:pt idx="92">
                  <c:v>7.2166602778107281E-8</c:v>
                </c:pt>
                <c:pt idx="93">
                  <c:v>6.9912980068060638E-8</c:v>
                </c:pt>
                <c:pt idx="94">
                  <c:v>6.7773659992538599E-8</c:v>
                </c:pt>
                <c:pt idx="95">
                  <c:v>6.5740501828525339E-8</c:v>
                </c:pt>
                <c:pt idx="96">
                  <c:v>6.3806111696522989E-8</c:v>
                </c:pt>
                <c:pt idx="97">
                  <c:v>6.196375909613207E-8</c:v>
                </c:pt>
                <c:pt idx="98">
                  <c:v>6.0207304380186274E-8</c:v>
                </c:pt>
                <c:pt idx="99">
                  <c:v>5.8531135531135838E-8</c:v>
                </c:pt>
                <c:pt idx="100">
                  <c:v>5.6930112877242857E-8</c:v>
                </c:pt>
                <c:pt idx="101">
                  <c:v>5.5399520609511057E-8</c:v>
                </c:pt>
                <c:pt idx="102">
                  <c:v>5.3935024143265956E-8</c:v>
                </c:pt>
                <c:pt idx="103">
                  <c:v>5.2532632518873563E-8</c:v>
                </c:pt>
                <c:pt idx="104">
                  <c:v>5.118866516049641E-8</c:v>
                </c:pt>
                <c:pt idx="105">
                  <c:v>4.989972241498985E-8</c:v>
                </c:pt>
                <c:pt idx="106">
                  <c:v>4.8662659378980332E-8</c:v>
                </c:pt>
                <c:pt idx="107">
                  <c:v>4.7474562593992111E-8</c:v>
                </c:pt>
                <c:pt idx="108">
                  <c:v>4.6332729249728419E-8</c:v>
                </c:pt>
                <c:pt idx="109">
                  <c:v>4.5234648586307161E-8</c:v>
                </c:pt>
                <c:pt idx="110">
                  <c:v>4.4177985229052332E-8</c:v>
                </c:pt>
                <c:pt idx="111">
                  <c:v>4.3160564225690498E-8</c:v>
                </c:pt>
                <c:pt idx="112">
                  <c:v>4.2180357586596232E-8</c:v>
                </c:pt>
                <c:pt idx="113">
                  <c:v>4.1235472154963893E-8</c:v>
                </c:pt>
                <c:pt idx="114">
                  <c:v>4.0324138656198742E-8</c:v>
                </c:pt>
                <c:pt idx="115">
                  <c:v>3.9444701795020473E-8</c:v>
                </c:pt>
                <c:pt idx="116">
                  <c:v>3.859561128526667E-8</c:v>
                </c:pt>
                <c:pt idx="117">
                  <c:v>3.7775413711584122E-8</c:v>
                </c:pt>
                <c:pt idx="118">
                  <c:v>3.6982745134456715E-8</c:v>
                </c:pt>
                <c:pt idx="119">
                  <c:v>3.6216324360624736E-8</c:v>
                </c:pt>
                <c:pt idx="120">
                  <c:v>3.5474946810150976E-8</c:v>
                </c:pt>
                <c:pt idx="121">
                  <c:v>3.4757478919383608E-8</c:v>
                </c:pt>
                <c:pt idx="122">
                  <c:v>3.4062853026031587E-8</c:v>
                </c:pt>
                <c:pt idx="123">
                  <c:v>3.3390062688646571E-8</c:v>
                </c:pt>
                <c:pt idx="124">
                  <c:v>3.2738158398123355E-8</c:v>
                </c:pt>
                <c:pt idx="125">
                  <c:v>3.2106243643489876E-8</c:v>
                </c:pt>
                <c:pt idx="126">
                  <c:v>3.1493471298349519E-8</c:v>
                </c:pt>
                <c:pt idx="127">
                  <c:v>3.089904029793753E-8</c:v>
                </c:pt>
                <c:pt idx="128">
                  <c:v>3.0322192579924555E-8</c:v>
                </c:pt>
                <c:pt idx="129">
                  <c:v>2.9762210264900829E-8</c:v>
                </c:pt>
                <c:pt idx="130">
                  <c:v>2.9218413054949803E-8</c:v>
                </c:pt>
                <c:pt idx="131">
                  <c:v>2.8690155830913646E-8</c:v>
                </c:pt>
                <c:pt idx="132">
                  <c:v>2.8176826430898246E-8</c:v>
                </c:pt>
                <c:pt idx="133">
                  <c:v>2.7677843594294791E-8</c:v>
                </c:pt>
                <c:pt idx="134">
                  <c:v>2.7192655057133027E-8</c:v>
                </c:pt>
                <c:pt idx="135">
                  <c:v>2.6720735785953328E-8</c:v>
                </c:pt>
                <c:pt idx="136">
                  <c:v>2.6261586338608082E-8</c:v>
                </c:pt>
                <c:pt idx="137">
                  <c:v>2.5814731341497612E-8</c:v>
                </c:pt>
                <c:pt idx="138">
                  <c:v>2.5379718073724523E-8</c:v>
                </c:pt>
                <c:pt idx="139">
                  <c:v>2.4956115149528704E-8</c:v>
                </c:pt>
                <c:pt idx="140">
                  <c:v>2.4543511291152337E-8</c:v>
                </c:pt>
                <c:pt idx="141">
                  <c:v>2.4141514184992581E-8</c:v>
                </c:pt>
                <c:pt idx="142">
                  <c:v>2.3749749414536151E-8</c:v>
                </c:pt>
                <c:pt idx="143">
                  <c:v>2.3367859464143988E-8</c:v>
                </c:pt>
                <c:pt idx="144">
                  <c:v>2.2995502788271396E-8</c:v>
                </c:pt>
                <c:pt idx="145">
                  <c:v>2.26323529411766E-8</c:v>
                </c:pt>
                <c:pt idx="146">
                  <c:v>2.2278097762592667E-8</c:v>
                </c:pt>
                <c:pt idx="147">
                  <c:v>2.1932438615220499E-8</c:v>
                </c:pt>
                <c:pt idx="148">
                  <c:v>2.1595089670246366E-8</c:v>
                </c:pt>
                <c:pt idx="149">
                  <c:v>2.1265777237402154E-8</c:v>
                </c:pt>
                <c:pt idx="150">
                  <c:v>2.0944239136371198E-8</c:v>
                </c:pt>
                <c:pt idx="151">
                  <c:v>2.0630224106602176E-8</c:v>
                </c:pt>
                <c:pt idx="152">
                  <c:v>2.0323491252828982E-8</c:v>
                </c:pt>
                <c:pt idx="153">
                  <c:v>2.0023809523809638E-8</c:v>
                </c:pt>
                <c:pt idx="154">
                  <c:v>1.9730957221992604E-8</c:v>
                </c:pt>
                <c:pt idx="155">
                  <c:v>1.9444721541997917E-8</c:v>
                </c:pt>
                <c:pt idx="156">
                  <c:v>1.9164898135963188E-8</c:v>
                </c:pt>
                <c:pt idx="157">
                  <c:v>1.8891290703954101E-8</c:v>
                </c:pt>
                <c:pt idx="158">
                  <c:v>1.8623710607774861E-8</c:v>
                </c:pt>
                <c:pt idx="159">
                  <c:v>1.8361976506639531E-8</c:v>
                </c:pt>
                <c:pt idx="160">
                  <c:v>1.810591401327914E-8</c:v>
                </c:pt>
                <c:pt idx="161">
                  <c:v>1.785535536916465E-8</c:v>
                </c:pt>
                <c:pt idx="162">
                  <c:v>1.7610139137622361E-8</c:v>
                </c:pt>
                <c:pt idx="163">
                  <c:v>1.7370109913706425E-8</c:v>
                </c:pt>
                <c:pt idx="164">
                  <c:v>1.7135118049775106E-8</c:v>
                </c:pt>
                <c:pt idx="165">
                  <c:v>1.6905019395791779E-8</c:v>
                </c:pt>
                <c:pt idx="166">
                  <c:v>1.6679675053440996E-8</c:v>
                </c:pt>
                <c:pt idx="167">
                  <c:v>1.645895114321328E-8</c:v>
                </c:pt>
                <c:pt idx="168">
                  <c:v>1.6242718583671056E-8</c:v>
                </c:pt>
                <c:pt idx="169">
                  <c:v>1.6030852882162116E-8</c:v>
                </c:pt>
                <c:pt idx="170">
                  <c:v>1.5823233936296916E-8</c:v>
                </c:pt>
                <c:pt idx="171">
                  <c:v>1.5619745845552355E-8</c:v>
                </c:pt>
                <c:pt idx="172">
                  <c:v>1.5420276732407169E-8</c:v>
                </c:pt>
                <c:pt idx="173">
                  <c:v>1.522471857245367E-8</c:v>
                </c:pt>
                <c:pt idx="174">
                  <c:v>1.5032967032967077E-8</c:v>
                </c:pt>
                <c:pt idx="175">
                  <c:v>1.4844921319447673E-8</c:v>
                </c:pt>
                <c:pt idx="176">
                  <c:v>1.4660484029682356E-8</c:v>
                </c:pt>
                <c:pt idx="177">
                  <c:v>1.4479561014901361E-8</c:v>
                </c:pt>
                <c:pt idx="178">
                  <c:v>1.4302061247632905E-8</c:v>
                </c:pt>
                <c:pt idx="179">
                  <c:v>1.41278966958838E-8</c:v>
                </c:pt>
                <c:pt idx="180">
                  <c:v>1.3956982203297325E-8</c:v>
                </c:pt>
                <c:pt idx="181">
                  <c:v>1.3789235374961401E-8</c:v>
                </c:pt>
                <c:pt idx="182">
                  <c:v>1.3624576468560336E-8</c:v>
                </c:pt>
                <c:pt idx="183">
                  <c:v>1.3462928290582305E-8</c:v>
                </c:pt>
                <c:pt idx="184">
                  <c:v>1.3304216097312158E-8</c:v>
                </c:pt>
                <c:pt idx="185">
                  <c:v>1.3148367500355565E-8</c:v>
                </c:pt>
                <c:pt idx="186">
                  <c:v>1.2995312376455714E-8</c:v>
                </c:pt>
                <c:pt idx="187">
                  <c:v>1.2844982781378094E-8</c:v>
                </c:pt>
                <c:pt idx="188">
                  <c:v>1.269731286765202E-8</c:v>
                </c:pt>
                <c:pt idx="189">
                  <c:v>1.255223880597015E-8</c:v>
                </c:pt>
                <c:pt idx="190">
                  <c:v>1.2409698710058619E-8</c:v>
                </c:pt>
                <c:pt idx="191">
                  <c:v>1.2269632564841497E-8</c:v>
                </c:pt>
                <c:pt idx="192">
                  <c:v>1.2131982157733226E-8</c:v>
                </c:pt>
                <c:pt idx="193">
                  <c:v>1.1996691012902263E-8</c:v>
                </c:pt>
                <c:pt idx="194">
                  <c:v>1.1863704328358031E-8</c:v>
                </c:pt>
                <c:pt idx="195">
                  <c:v>1.173296891572162E-8</c:v>
                </c:pt>
                <c:pt idx="196">
                  <c:v>1.160443314254845E-8</c:v>
                </c:pt>
                <c:pt idx="197">
                  <c:v>1.1478046877078462E-8</c:v>
                </c:pt>
                <c:pt idx="198">
                  <c:v>1.1353761435296194E-8</c:v>
                </c:pt>
                <c:pt idx="199">
                  <c:v>1.123152953018968E-8</c:v>
                </c:pt>
                <c:pt idx="200">
                  <c:v>1.1111305223102982E-8</c:v>
                </c:pt>
                <c:pt idx="201">
                  <c:v>1.0993043877082996E-8</c:v>
                </c:pt>
                <c:pt idx="202">
                  <c:v>1.0876702112126403E-8</c:v>
                </c:pt>
                <c:pt idx="203">
                  <c:v>1.0762237762237743E-8</c:v>
                </c:pt>
                <c:pt idx="204">
                  <c:v>1.0649609834214231E-8</c:v>
                </c:pt>
                <c:pt idx="205">
                  <c:v>1.053877846807746E-8</c:v>
                </c:pt>
                <c:pt idx="206">
                  <c:v>1.0429704899076205E-8</c:v>
                </c:pt>
                <c:pt idx="207">
                  <c:v>1.0322351421188603E-8</c:v>
                </c:pt>
                <c:pt idx="208">
                  <c:v>1.0216681352055615E-8</c:v>
                </c:pt>
                <c:pt idx="209">
                  <c:v>1.0112658999281153E-8</c:v>
                </c:pt>
                <c:pt idx="210">
                  <c:v>1.0010249628037664E-8</c:v>
                </c:pt>
                <c:pt idx="211">
                  <c:v>9.9094194299188904E-9</c:v>
                </c:pt>
                <c:pt idx="212">
                  <c:v>9.810135492984673E-9</c:v>
                </c:pt>
                <c:pt idx="213">
                  <c:v>9.7123657729451973E-9</c:v>
                </c:pt>
                <c:pt idx="214">
                  <c:v>9.6160790654349349E-9</c:v>
                </c:pt>
                <c:pt idx="215">
                  <c:v>9.521244979328778E-9</c:v>
                </c:pt>
                <c:pt idx="216">
                  <c:v>9.4278339110553534E-9</c:v>
                </c:pt>
                <c:pt idx="217">
                  <c:v>9.335817019864646E-9</c:v>
                </c:pt>
                <c:pt idx="218">
                  <c:v>9.2451662040091454E-9</c:v>
                </c:pt>
                <c:pt idx="219">
                  <c:v>9.1558540777996693E-9</c:v>
                </c:pt>
                <c:pt idx="220">
                  <c:v>9.0678539494989911E-9</c:v>
                </c:pt>
                <c:pt idx="221">
                  <c:v>8.9811398000180038E-9</c:v>
                </c:pt>
                <c:pt idx="222">
                  <c:v>8.8956862623809821E-9</c:v>
                </c:pt>
                <c:pt idx="223">
                  <c:v>8.8114686019279603E-9</c:v>
                </c:pt>
                <c:pt idx="224">
                  <c:v>8.728462697223799E-9</c:v>
                </c:pt>
                <c:pt idx="225">
                  <c:v>8.6466450216449796E-9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9E-47BC-A0F0-6BC4A8DF2695}"/>
            </c:ext>
          </c:extLst>
        </c:ser>
        <c:ser>
          <c:idx val="2"/>
          <c:order val="2"/>
          <c:tx>
            <c:strRef>
              <c:f>'応答ｸﾞﾗﾌ-3'!$H$10</c:f>
              <c:strCache>
                <c:ptCount val="1"/>
                <c:pt idx="0">
                  <c:v>振幅Y[m](減衰比0.1) (式(10.14)))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'応答ｸﾞﾗﾌ-3'!$F$11:$F$236</c:f>
              <c:numCache>
                <c:formatCode>General</c:formatCode>
                <c:ptCount val="22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  <c:pt idx="122">
                  <c:v>12.199999999999973</c:v>
                </c:pt>
                <c:pt idx="123">
                  <c:v>12.299999999999972</c:v>
                </c:pt>
                <c:pt idx="124">
                  <c:v>12.399999999999972</c:v>
                </c:pt>
                <c:pt idx="125">
                  <c:v>12.499999999999972</c:v>
                </c:pt>
                <c:pt idx="126">
                  <c:v>12.599999999999971</c:v>
                </c:pt>
                <c:pt idx="127">
                  <c:v>12.699999999999971</c:v>
                </c:pt>
                <c:pt idx="128">
                  <c:v>12.799999999999971</c:v>
                </c:pt>
                <c:pt idx="129">
                  <c:v>12.89999999999997</c:v>
                </c:pt>
                <c:pt idx="130">
                  <c:v>12.99999999999997</c:v>
                </c:pt>
                <c:pt idx="131">
                  <c:v>13.099999999999969</c:v>
                </c:pt>
                <c:pt idx="132">
                  <c:v>13.199999999999969</c:v>
                </c:pt>
                <c:pt idx="133">
                  <c:v>13.299999999999969</c:v>
                </c:pt>
                <c:pt idx="134">
                  <c:v>13.399999999999968</c:v>
                </c:pt>
                <c:pt idx="135">
                  <c:v>13.499999999999968</c:v>
                </c:pt>
                <c:pt idx="136">
                  <c:v>13.599999999999968</c:v>
                </c:pt>
                <c:pt idx="137">
                  <c:v>13.699999999999967</c:v>
                </c:pt>
                <c:pt idx="138">
                  <c:v>13.799999999999967</c:v>
                </c:pt>
                <c:pt idx="139">
                  <c:v>13.899999999999967</c:v>
                </c:pt>
                <c:pt idx="140">
                  <c:v>13.999999999999966</c:v>
                </c:pt>
                <c:pt idx="141">
                  <c:v>14.099999999999966</c:v>
                </c:pt>
                <c:pt idx="142">
                  <c:v>14.199999999999966</c:v>
                </c:pt>
                <c:pt idx="143">
                  <c:v>14.299999999999965</c:v>
                </c:pt>
                <c:pt idx="144">
                  <c:v>14.399999999999965</c:v>
                </c:pt>
                <c:pt idx="145">
                  <c:v>14.499999999999964</c:v>
                </c:pt>
                <c:pt idx="146">
                  <c:v>14.599999999999964</c:v>
                </c:pt>
                <c:pt idx="147">
                  <c:v>14.699999999999964</c:v>
                </c:pt>
                <c:pt idx="148">
                  <c:v>14.799999999999963</c:v>
                </c:pt>
                <c:pt idx="149">
                  <c:v>14.899999999999963</c:v>
                </c:pt>
                <c:pt idx="150">
                  <c:v>14.999999999999963</c:v>
                </c:pt>
                <c:pt idx="151">
                  <c:v>15.099999999999962</c:v>
                </c:pt>
                <c:pt idx="152">
                  <c:v>15.199999999999962</c:v>
                </c:pt>
                <c:pt idx="153">
                  <c:v>15.299999999999962</c:v>
                </c:pt>
                <c:pt idx="154">
                  <c:v>15.399999999999961</c:v>
                </c:pt>
                <c:pt idx="155">
                  <c:v>15.499999999999961</c:v>
                </c:pt>
                <c:pt idx="156">
                  <c:v>15.599999999999961</c:v>
                </c:pt>
                <c:pt idx="157">
                  <c:v>15.69999999999996</c:v>
                </c:pt>
                <c:pt idx="158">
                  <c:v>15.79999999999996</c:v>
                </c:pt>
                <c:pt idx="159">
                  <c:v>15.899999999999959</c:v>
                </c:pt>
                <c:pt idx="160">
                  <c:v>15.999999999999959</c:v>
                </c:pt>
                <c:pt idx="161">
                  <c:v>16.099999999999959</c:v>
                </c:pt>
                <c:pt idx="162">
                  <c:v>16.19999999999996</c:v>
                </c:pt>
                <c:pt idx="163">
                  <c:v>16.299999999999962</c:v>
                </c:pt>
                <c:pt idx="164">
                  <c:v>16.399999999999963</c:v>
                </c:pt>
                <c:pt idx="165">
                  <c:v>16.499999999999964</c:v>
                </c:pt>
                <c:pt idx="166">
                  <c:v>16.599999999999966</c:v>
                </c:pt>
                <c:pt idx="167">
                  <c:v>16.699999999999967</c:v>
                </c:pt>
                <c:pt idx="168">
                  <c:v>16.799999999999969</c:v>
                </c:pt>
                <c:pt idx="169">
                  <c:v>16.89999999999997</c:v>
                </c:pt>
                <c:pt idx="170">
                  <c:v>16.999999999999972</c:v>
                </c:pt>
                <c:pt idx="171">
                  <c:v>17.099999999999973</c:v>
                </c:pt>
                <c:pt idx="172">
                  <c:v>17.199999999999974</c:v>
                </c:pt>
                <c:pt idx="173">
                  <c:v>17.299999999999976</c:v>
                </c:pt>
                <c:pt idx="174">
                  <c:v>17.399999999999977</c:v>
                </c:pt>
                <c:pt idx="175">
                  <c:v>17.499999999999979</c:v>
                </c:pt>
                <c:pt idx="176">
                  <c:v>17.59999999999998</c:v>
                </c:pt>
                <c:pt idx="177">
                  <c:v>17.699999999999982</c:v>
                </c:pt>
                <c:pt idx="178">
                  <c:v>17.799999999999983</c:v>
                </c:pt>
                <c:pt idx="179">
                  <c:v>17.899999999999984</c:v>
                </c:pt>
                <c:pt idx="180">
                  <c:v>17.999999999999986</c:v>
                </c:pt>
                <c:pt idx="181">
                  <c:v>18.099999999999987</c:v>
                </c:pt>
                <c:pt idx="182">
                  <c:v>18.199999999999989</c:v>
                </c:pt>
                <c:pt idx="183">
                  <c:v>18.29999999999999</c:v>
                </c:pt>
                <c:pt idx="184">
                  <c:v>18.399999999999991</c:v>
                </c:pt>
                <c:pt idx="185">
                  <c:v>18.499999999999993</c:v>
                </c:pt>
                <c:pt idx="186">
                  <c:v>18.599999999999994</c:v>
                </c:pt>
                <c:pt idx="187">
                  <c:v>18.699999999999996</c:v>
                </c:pt>
                <c:pt idx="188">
                  <c:v>18.799999999999997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19.200000000000003</c:v>
                </c:pt>
                <c:pt idx="193">
                  <c:v>19.300000000000004</c:v>
                </c:pt>
                <c:pt idx="194">
                  <c:v>19.400000000000006</c:v>
                </c:pt>
                <c:pt idx="195">
                  <c:v>19.500000000000007</c:v>
                </c:pt>
                <c:pt idx="196">
                  <c:v>19.600000000000009</c:v>
                </c:pt>
                <c:pt idx="197">
                  <c:v>19.70000000000001</c:v>
                </c:pt>
                <c:pt idx="198">
                  <c:v>19.800000000000011</c:v>
                </c:pt>
                <c:pt idx="199">
                  <c:v>19.900000000000013</c:v>
                </c:pt>
                <c:pt idx="200">
                  <c:v>20.000000000000014</c:v>
                </c:pt>
                <c:pt idx="201">
                  <c:v>20.100000000000016</c:v>
                </c:pt>
                <c:pt idx="202">
                  <c:v>20.200000000000017</c:v>
                </c:pt>
                <c:pt idx="203">
                  <c:v>20.300000000000018</c:v>
                </c:pt>
                <c:pt idx="204">
                  <c:v>20.40000000000002</c:v>
                </c:pt>
                <c:pt idx="205">
                  <c:v>20.500000000000021</c:v>
                </c:pt>
                <c:pt idx="206">
                  <c:v>20.600000000000023</c:v>
                </c:pt>
                <c:pt idx="207">
                  <c:v>20.700000000000024</c:v>
                </c:pt>
                <c:pt idx="208">
                  <c:v>20.800000000000026</c:v>
                </c:pt>
                <c:pt idx="209">
                  <c:v>20.900000000000027</c:v>
                </c:pt>
                <c:pt idx="210">
                  <c:v>21.000000000000028</c:v>
                </c:pt>
                <c:pt idx="211">
                  <c:v>21.10000000000003</c:v>
                </c:pt>
                <c:pt idx="212">
                  <c:v>21.200000000000031</c:v>
                </c:pt>
                <c:pt idx="213">
                  <c:v>21.300000000000033</c:v>
                </c:pt>
                <c:pt idx="214">
                  <c:v>21.400000000000034</c:v>
                </c:pt>
                <c:pt idx="215">
                  <c:v>21.500000000000036</c:v>
                </c:pt>
                <c:pt idx="216">
                  <c:v>21.600000000000037</c:v>
                </c:pt>
                <c:pt idx="217">
                  <c:v>21.700000000000038</c:v>
                </c:pt>
                <c:pt idx="218">
                  <c:v>21.80000000000004</c:v>
                </c:pt>
                <c:pt idx="219">
                  <c:v>21.900000000000041</c:v>
                </c:pt>
                <c:pt idx="220">
                  <c:v>22.000000000000043</c:v>
                </c:pt>
                <c:pt idx="221">
                  <c:v>22.100000000000044</c:v>
                </c:pt>
                <c:pt idx="222">
                  <c:v>22.200000000000045</c:v>
                </c:pt>
                <c:pt idx="223">
                  <c:v>22.300000000000047</c:v>
                </c:pt>
                <c:pt idx="224">
                  <c:v>22.400000000000048</c:v>
                </c:pt>
                <c:pt idx="225">
                  <c:v>22.50000000000005</c:v>
                </c:pt>
              </c:numCache>
            </c:numRef>
          </c:xVal>
          <c:yVal>
            <c:numRef>
              <c:f>'応答ｸﾞﾗﾌ-3'!$H$11:$H$236</c:f>
              <c:numCache>
                <c:formatCode>General</c:formatCode>
                <c:ptCount val="226"/>
                <c:pt idx="0">
                  <c:v>1.5200000000000001E-7</c:v>
                </c:pt>
                <c:pt idx="1">
                  <c:v>1.520546866926714E-7</c:v>
                </c:pt>
                <c:pt idx="2">
                  <c:v>1.5221897824153634E-7</c:v>
                </c:pt>
                <c:pt idx="3">
                  <c:v>1.5249357145864414E-7</c:v>
                </c:pt>
                <c:pt idx="4">
                  <c:v>1.5287963574113933E-7</c:v>
                </c:pt>
                <c:pt idx="5">
                  <c:v>1.5337882529712072E-7</c:v>
                </c:pt>
                <c:pt idx="6">
                  <c:v>1.539932965872781E-7</c:v>
                </c:pt>
                <c:pt idx="7">
                  <c:v>1.5472573131938998E-7</c:v>
                </c:pt>
                <c:pt idx="8">
                  <c:v>1.5557936544627246E-7</c:v>
                </c:pt>
                <c:pt idx="9">
                  <c:v>1.5655802474518004E-7</c:v>
                </c:pt>
                <c:pt idx="10">
                  <c:v>1.5766616770224635E-7</c:v>
                </c:pt>
                <c:pt idx="11">
                  <c:v>1.5890893659441277E-7</c:v>
                </c:pt>
                <c:pt idx="12">
                  <c:v>1.602922178595795E-7</c:v>
                </c:pt>
                <c:pt idx="13">
                  <c:v>1.6182271308097722E-7</c:v>
                </c:pt>
                <c:pt idx="14">
                  <c:v>1.6350802219332144E-7</c:v>
                </c:pt>
                <c:pt idx="15">
                  <c:v>1.6535674085781517E-7</c:v>
                </c:pt>
                <c:pt idx="16">
                  <c:v>1.673785743651015E-7</c:v>
                </c:pt>
                <c:pt idx="17">
                  <c:v>1.6958447092825335E-7</c:v>
                </c:pt>
                <c:pt idx="18">
                  <c:v>1.7198677784518271E-7</c:v>
                </c:pt>
                <c:pt idx="19">
                  <c:v>1.7459942477118124E-7</c:v>
                </c:pt>
                <c:pt idx="20">
                  <c:v>1.7743813928567558E-7</c:v>
                </c:pt>
                <c:pt idx="21">
                  <c:v>1.8052070111140556E-7</c:v>
                </c:pt>
                <c:pt idx="22">
                  <c:v>1.8386724281171442E-7</c:v>
                </c:pt>
                <c:pt idx="23">
                  <c:v>1.8750060663307357E-7</c:v>
                </c:pt>
                <c:pt idx="24">
                  <c:v>1.9144676947915848E-7</c:v>
                </c:pt>
                <c:pt idx="25">
                  <c:v>1.9573535093333846E-7</c:v>
                </c:pt>
                <c:pt idx="26">
                  <c:v>2.0040022295971999E-7</c:v>
                </c:pt>
                <c:pt idx="27">
                  <c:v>2.0548024462733727E-7</c:v>
                </c:pt>
                <c:pt idx="28">
                  <c:v>2.1102015119293845E-7</c:v>
                </c:pt>
                <c:pt idx="29">
                  <c:v>2.1707163448497715E-7</c:v>
                </c:pt>
                <c:pt idx="30">
                  <c:v>2.2369466116012566E-7</c:v>
                </c:pt>
                <c:pt idx="31">
                  <c:v>2.3095908750634906E-7</c:v>
                </c:pt>
                <c:pt idx="32">
                  <c:v>2.389466444814403E-7</c:v>
                </c:pt>
                <c:pt idx="33">
                  <c:v>2.4775338487127744E-7</c:v>
                </c:pt>
                <c:pt idx="34">
                  <c:v>2.5749270557362207E-7</c:v>
                </c:pt>
                <c:pt idx="35">
                  <c:v>2.6829908052305945E-7</c:v>
                </c:pt>
                <c:pt idx="36">
                  <c:v>2.8033265925014887E-7</c:v>
                </c:pt>
                <c:pt idx="37">
                  <c:v>2.9378489189620192E-7</c:v>
                </c:pt>
                <c:pt idx="38">
                  <c:v>3.088853100506245E-7</c:v>
                </c:pt>
                <c:pt idx="39">
                  <c:v>3.2590947340781008E-7</c:v>
                </c:pt>
                <c:pt idx="40">
                  <c:v>3.4518777879675421E-7</c:v>
                </c:pt>
                <c:pt idx="41">
                  <c:v>3.6711410129699237E-7</c:v>
                </c:pt>
                <c:pt idx="42">
                  <c:v>3.92151650509512E-7</c:v>
                </c:pt>
                <c:pt idx="43">
                  <c:v>4.2083009069115871E-7</c:v>
                </c:pt>
                <c:pt idx="44">
                  <c:v>4.5372120247100605E-7</c:v>
                </c:pt>
                <c:pt idx="45">
                  <c:v>4.9136724237271571E-7</c:v>
                </c:pt>
                <c:pt idx="46">
                  <c:v>5.3411281260791819E-7</c:v>
                </c:pt>
                <c:pt idx="47">
                  <c:v>5.8175689673241277E-7</c:v>
                </c:pt>
                <c:pt idx="48">
                  <c:v>6.3291776643918476E-7</c:v>
                </c:pt>
                <c:pt idx="49">
                  <c:v>6.8408255584495208E-7</c:v>
                </c:pt>
                <c:pt idx="50">
                  <c:v>7.2871623048621175E-7</c:v>
                </c:pt>
                <c:pt idx="51">
                  <c:v>7.5765839869580361E-7</c:v>
                </c:pt>
                <c:pt idx="52">
                  <c:v>7.6236156519287355E-7</c:v>
                </c:pt>
                <c:pt idx="53">
                  <c:v>7.4001730709246307E-7</c:v>
                </c:pt>
                <c:pt idx="54">
                  <c:v>6.9575712403790523E-7</c:v>
                </c:pt>
                <c:pt idx="55">
                  <c:v>6.3923789877321339E-7</c:v>
                </c:pt>
                <c:pt idx="56">
                  <c:v>5.7947558513711364E-7</c:v>
                </c:pt>
                <c:pt idx="57">
                  <c:v>5.2228344184016269E-7</c:v>
                </c:pt>
                <c:pt idx="58">
                  <c:v>4.7041733917097776E-7</c:v>
                </c:pt>
                <c:pt idx="59">
                  <c:v>4.2467057818705307E-7</c:v>
                </c:pt>
                <c:pt idx="60">
                  <c:v>3.8483755163817162E-7</c:v>
                </c:pt>
                <c:pt idx="61">
                  <c:v>3.5030517424901872E-7</c:v>
                </c:pt>
                <c:pt idx="62">
                  <c:v>3.2035583384693317E-7</c:v>
                </c:pt>
                <c:pt idx="63">
                  <c:v>2.9430247457363433E-7</c:v>
                </c:pt>
                <c:pt idx="64">
                  <c:v>2.7153850914423219E-7</c:v>
                </c:pt>
                <c:pt idx="65">
                  <c:v>2.5154842270127345E-7</c:v>
                </c:pt>
                <c:pt idx="66">
                  <c:v>2.3390204895181838E-7</c:v>
                </c:pt>
                <c:pt idx="67">
                  <c:v>2.1824329414095839E-7</c:v>
                </c:pt>
                <c:pt idx="68">
                  <c:v>2.0427803810620658E-7</c:v>
                </c:pt>
                <c:pt idx="69">
                  <c:v>1.9176308329237188E-7</c:v>
                </c:pt>
                <c:pt idx="70">
                  <c:v>1.8049672885785096E-7</c:v>
                </c:pt>
                <c:pt idx="71">
                  <c:v>1.7031099638854448E-7</c:v>
                </c:pt>
                <c:pt idx="72">
                  <c:v>1.6106532598448369E-7</c:v>
                </c:pt>
                <c:pt idx="73">
                  <c:v>1.5264150591610764E-7</c:v>
                </c:pt>
                <c:pt idx="74">
                  <c:v>1.4493960655019861E-7</c:v>
                </c:pt>
                <c:pt idx="75">
                  <c:v>1.3787471919573859E-7</c:v>
                </c:pt>
                <c:pt idx="76">
                  <c:v>1.3137433516035831E-7</c:v>
                </c:pt>
                <c:pt idx="77">
                  <c:v>1.2537623249732369E-7</c:v>
                </c:pt>
                <c:pt idx="78">
                  <c:v>1.1982676531880454E-7</c:v>
                </c:pt>
                <c:pt idx="79">
                  <c:v>1.1467947287446344E-7</c:v>
                </c:pt>
                <c:pt idx="80">
                  <c:v>1.0989394336426888E-7</c:v>
                </c:pt>
                <c:pt idx="81">
                  <c:v>1.0543488142114375E-7</c:v>
                </c:pt>
                <c:pt idx="82">
                  <c:v>1.0127133910535706E-7</c:v>
                </c:pt>
                <c:pt idx="83">
                  <c:v>9.7376078746145635E-8</c:v>
                </c:pt>
                <c:pt idx="84">
                  <c:v>9.372504257900264E-8</c:v>
                </c:pt>
                <c:pt idx="85">
                  <c:v>9.0296909282772068E-8</c:v>
                </c:pt>
                <c:pt idx="86">
                  <c:v>8.7072721550001067E-8</c:v>
                </c:pt>
                <c:pt idx="87">
                  <c:v>8.4035571982884953E-8</c:v>
                </c:pt>
                <c:pt idx="88">
                  <c:v>8.1170337092554453E-8</c:v>
                </c:pt>
                <c:pt idx="89">
                  <c:v>7.846345114262133E-8</c:v>
                </c:pt>
                <c:pt idx="90">
                  <c:v>7.5902713134894092E-8</c:v>
                </c:pt>
                <c:pt idx="91">
                  <c:v>7.3477121475206731E-8</c:v>
                </c:pt>
                <c:pt idx="92">
                  <c:v>7.1176731849067355E-8</c:v>
                </c:pt>
                <c:pt idx="93">
                  <c:v>6.8992534633383105E-8</c:v>
                </c:pt>
                <c:pt idx="94">
                  <c:v>6.6916348812951856E-8</c:v>
                </c:pt>
                <c:pt idx="95">
                  <c:v>6.4940729890685183E-8</c:v>
                </c:pt>
                <c:pt idx="96">
                  <c:v>6.3058889703572714E-8</c:v>
                </c:pt>
                <c:pt idx="97">
                  <c:v>6.1264626401749771E-8</c:v>
                </c:pt>
                <c:pt idx="98">
                  <c:v>5.9552263131044848E-8</c:v>
                </c:pt>
                <c:pt idx="99">
                  <c:v>5.7916594192187393E-8</c:v>
                </c:pt>
                <c:pt idx="100">
                  <c:v>5.6352837642061687E-8</c:v>
                </c:pt>
                <c:pt idx="101">
                  <c:v>5.48565934616421E-8</c:v>
                </c:pt>
                <c:pt idx="102">
                  <c:v>5.3423806547648974E-8</c:v>
                </c:pt>
                <c:pt idx="103">
                  <c:v>5.2050733895417896E-8</c:v>
                </c:pt>
                <c:pt idx="104">
                  <c:v>5.0733915432916745E-8</c:v>
                </c:pt>
                <c:pt idx="105">
                  <c:v>4.9470148043459229E-8</c:v>
                </c:pt>
                <c:pt idx="106">
                  <c:v>4.8256462380027242E-8</c:v>
                </c:pt>
                <c:pt idx="107">
                  <c:v>4.7090102129326082E-8</c:v>
                </c:pt>
                <c:pt idx="108">
                  <c:v>4.5968505430467931E-8</c:v>
                </c:pt>
                <c:pt idx="109">
                  <c:v>4.4889288192910587E-8</c:v>
                </c:pt>
                <c:pt idx="110">
                  <c:v>4.3850229092123908E-8</c:v>
                </c:pt>
                <c:pt idx="111">
                  <c:v>4.2849256050360368E-8</c:v>
                </c:pt>
                <c:pt idx="112">
                  <c:v>4.1884434034658152E-8</c:v>
                </c:pt>
                <c:pt idx="113">
                  <c:v>4.0953954025448962E-8</c:v>
                </c:pt>
                <c:pt idx="114">
                  <c:v>4.0056123027425035E-8</c:v>
                </c:pt>
                <c:pt idx="115">
                  <c:v>3.9189355010085474E-8</c:v>
                </c:pt>
                <c:pt idx="116">
                  <c:v>3.8352162679012809E-8</c:v>
                </c:pt>
                <c:pt idx="117">
                  <c:v>3.7543149990737889E-8</c:v>
                </c:pt>
                <c:pt idx="118">
                  <c:v>3.6761005334304474E-8</c:v>
                </c:pt>
                <c:pt idx="119">
                  <c:v>3.600449531156383E-8</c:v>
                </c:pt>
                <c:pt idx="120">
                  <c:v>3.5272459056007133E-8</c:v>
                </c:pt>
                <c:pt idx="121">
                  <c:v>3.4563803036735923E-8</c:v>
                </c:pt>
                <c:pt idx="122">
                  <c:v>3.387749630011698E-8</c:v>
                </c:pt>
                <c:pt idx="123">
                  <c:v>3.3212566106880928E-8</c:v>
                </c:pt>
                <c:pt idx="124">
                  <c:v>3.2568093927004336E-8</c:v>
                </c:pt>
                <c:pt idx="125">
                  <c:v>3.194321175874505E-8</c:v>
                </c:pt>
                <c:pt idx="126">
                  <c:v>3.1337098741753723E-8</c:v>
                </c:pt>
                <c:pt idx="127">
                  <c:v>3.0748978037322256E-8</c:v>
                </c:pt>
                <c:pt idx="128">
                  <c:v>3.0178113951604187E-8</c:v>
                </c:pt>
                <c:pt idx="129">
                  <c:v>2.9623809280101616E-8</c:v>
                </c:pt>
                <c:pt idx="130">
                  <c:v>2.9085402853893591E-8</c:v>
                </c:pt>
                <c:pt idx="131">
                  <c:v>2.8562267270020264E-8</c:v>
                </c:pt>
                <c:pt idx="132">
                  <c:v>2.8053806790161529E-8</c:v>
                </c:pt>
                <c:pt idx="133">
                  <c:v>2.7559455393287256E-8</c:v>
                </c:pt>
                <c:pt idx="134">
                  <c:v>2.7078674969327742E-8</c:v>
                </c:pt>
                <c:pt idx="135">
                  <c:v>2.66109536421403E-8</c:v>
                </c:pt>
                <c:pt idx="136">
                  <c:v>2.6155804211145091E-8</c:v>
                </c:pt>
                <c:pt idx="137">
                  <c:v>2.5712762701987267E-8</c:v>
                </c:pt>
                <c:pt idx="138">
                  <c:v>2.5281387017465033E-8</c:v>
                </c:pt>
                <c:pt idx="139">
                  <c:v>2.4861255680756471E-8</c:v>
                </c:pt>
                <c:pt idx="140">
                  <c:v>2.4451966663691003E-8</c:v>
                </c:pt>
                <c:pt idx="141">
                  <c:v>2.4053136293454181E-8</c:v>
                </c:pt>
                <c:pt idx="142">
                  <c:v>2.3664398231693442E-8</c:v>
                </c:pt>
                <c:pt idx="143">
                  <c:v>2.3285402520515797E-8</c:v>
                </c:pt>
                <c:pt idx="144">
                  <c:v>2.2915814690340586E-8</c:v>
                </c:pt>
                <c:pt idx="145">
                  <c:v>2.2555314924998403E-8</c:v>
                </c:pt>
                <c:pt idx="146">
                  <c:v>2.2203597279854209E-8</c:v>
                </c:pt>
                <c:pt idx="147">
                  <c:v>2.1860368949084148E-8</c:v>
                </c:pt>
                <c:pt idx="148">
                  <c:v>2.1525349578553762E-8</c:v>
                </c:pt>
                <c:pt idx="149">
                  <c:v>2.1198270621035378E-8</c:v>
                </c:pt>
                <c:pt idx="150">
                  <c:v>2.0878874730765189E-8</c:v>
                </c:pt>
                <c:pt idx="151">
                  <c:v>2.056691519458074E-8</c:v>
                </c:pt>
                <c:pt idx="152">
                  <c:v>2.0262155397097456E-8</c:v>
                </c:pt>
                <c:pt idx="153">
                  <c:v>1.9964368317582431E-8</c:v>
                </c:pt>
                <c:pt idx="154">
                  <c:v>1.9673336056365197E-8</c:v>
                </c:pt>
                <c:pt idx="155">
                  <c:v>1.9388849388791594E-8</c:v>
                </c:pt>
                <c:pt idx="156">
                  <c:v>1.9110707344878495E-8</c:v>
                </c:pt>
                <c:pt idx="157">
                  <c:v>1.8838716812966546E-8</c:v>
                </c:pt>
                <c:pt idx="158">
                  <c:v>1.8572692165795047E-8</c:v>
                </c:pt>
                <c:pt idx="159">
                  <c:v>1.8312454907540257E-8</c:v>
                </c:pt>
                <c:pt idx="160">
                  <c:v>1.8057833340465351E-8</c:v>
                </c:pt>
                <c:pt idx="161">
                  <c:v>1.7808662249928634E-8</c:v>
                </c:pt>
                <c:pt idx="162">
                  <c:v>1.7564782606587265E-8</c:v>
                </c:pt>
                <c:pt idx="163">
                  <c:v>1.7326041284716568E-8</c:v>
                </c:pt>
                <c:pt idx="164">
                  <c:v>1.7092290795641968E-8</c:v>
                </c:pt>
                <c:pt idx="165">
                  <c:v>1.6863389035350743E-8</c:v>
                </c:pt>
                <c:pt idx="166">
                  <c:v>1.6639199045415966E-8</c:v>
                </c:pt>
                <c:pt idx="167">
                  <c:v>1.6419588786424982E-8</c:v>
                </c:pt>
                <c:pt idx="168">
                  <c:v>1.6204430923160029E-8</c:v>
                </c:pt>
                <c:pt idx="169">
                  <c:v>1.5993602620829764E-8</c:v>
                </c:pt>
                <c:pt idx="170">
                  <c:v>1.5786985351697681E-8</c:v>
                </c:pt>
                <c:pt idx="171">
                  <c:v>1.5584464711497268E-8</c:v>
                </c:pt>
                <c:pt idx="172">
                  <c:v>1.538593024506398E-8</c:v>
                </c:pt>
                <c:pt idx="173">
                  <c:v>1.5191275280651806E-8</c:v>
                </c:pt>
                <c:pt idx="174">
                  <c:v>1.500039677243669E-8</c:v>
                </c:pt>
                <c:pt idx="175">
                  <c:v>1.4813195150741616E-8</c:v>
                </c:pt>
                <c:pt idx="176">
                  <c:v>1.4629574179547611E-8</c:v>
                </c:pt>
                <c:pt idx="177">
                  <c:v>1.4449440820883163E-8</c:v>
                </c:pt>
                <c:pt idx="178">
                  <c:v>1.4272705105709838E-8</c:v>
                </c:pt>
                <c:pt idx="179">
                  <c:v>1.4099280010946261E-8</c:v>
                </c:pt>
                <c:pt idx="180">
                  <c:v>1.3929081342294674E-8</c:v>
                </c:pt>
                <c:pt idx="181">
                  <c:v>1.3762027622555089E-8</c:v>
                </c:pt>
                <c:pt idx="182">
                  <c:v>1.3598039985131367E-8</c:v>
                </c:pt>
                <c:pt idx="183">
                  <c:v>1.3437042072451623E-8</c:v>
                </c:pt>
                <c:pt idx="184">
                  <c:v>1.3278959939042045E-8</c:v>
                </c:pt>
                <c:pt idx="185">
                  <c:v>1.3123721959008839E-8</c:v>
                </c:pt>
                <c:pt idx="186">
                  <c:v>1.2971258737697754E-8</c:v>
                </c:pt>
                <c:pt idx="187">
                  <c:v>1.282150302731417E-8</c:v>
                </c:pt>
                <c:pt idx="188">
                  <c:v>1.267438964629942E-8</c:v>
                </c:pt>
                <c:pt idx="189">
                  <c:v>1.2529855402271111E-8</c:v>
                </c:pt>
                <c:pt idx="190">
                  <c:v>1.2387839018346093E-8</c:v>
                </c:pt>
                <c:pt idx="191">
                  <c:v>1.2248281062675373E-8</c:v>
                </c:pt>
                <c:pt idx="192">
                  <c:v>1.2111123881029815E-8</c:v>
                </c:pt>
                <c:pt idx="193">
                  <c:v>1.1976311532284782E-8</c:v>
                </c:pt>
                <c:pt idx="194">
                  <c:v>1.1843789726660234E-8</c:v>
                </c:pt>
                <c:pt idx="195">
                  <c:v>1.1713505766580988E-8</c:v>
                </c:pt>
                <c:pt idx="196">
                  <c:v>1.1585408490029253E-8</c:v>
                </c:pt>
                <c:pt idx="197">
                  <c:v>1.1459448216268622E-8</c:v>
                </c:pt>
                <c:pt idx="198">
                  <c:v>1.133557669382535E-8</c:v>
                </c:pt>
                <c:pt idx="199">
                  <c:v>1.121374705061894E-8</c:v>
                </c:pt>
                <c:pt idx="200">
                  <c:v>1.109391374613988E-8</c:v>
                </c:pt>
                <c:pt idx="201">
                  <c:v>1.0976032525577929E-8</c:v>
                </c:pt>
                <c:pt idx="202">
                  <c:v>1.086006037580936E-8</c:v>
                </c:pt>
                <c:pt idx="203">
                  <c:v>1.0745955483156629E-8</c:v>
                </c:pt>
                <c:pt idx="204">
                  <c:v>1.0633677192838291E-8</c:v>
                </c:pt>
                <c:pt idx="205">
                  <c:v>1.0523185970031446E-8</c:v>
                </c:pt>
                <c:pt idx="206">
                  <c:v>1.0414443362472909E-8</c:v>
                </c:pt>
                <c:pt idx="207">
                  <c:v>1.0307411964529246E-8</c:v>
                </c:pt>
                <c:pt idx="208">
                  <c:v>1.0202055382669273E-8</c:v>
                </c:pt>
                <c:pt idx="209">
                  <c:v>1.0098338202276089E-8</c:v>
                </c:pt>
                <c:pt idx="210">
                  <c:v>9.9962259557389169E-9</c:v>
                </c:pt>
                <c:pt idx="211">
                  <c:v>9.8956850917679269E-9</c:v>
                </c:pt>
                <c:pt idx="212">
                  <c:v>9.7966829458782424E-9</c:v>
                </c:pt>
                <c:pt idx="213">
                  <c:v>9.6991877119917812E-9</c:v>
                </c:pt>
                <c:pt idx="214">
                  <c:v>9.6031684151084034E-9</c:v>
                </c:pt>
                <c:pt idx="215">
                  <c:v>9.5085948849999308E-9</c:v>
                </c:pt>
                <c:pt idx="216">
                  <c:v>9.4154377308830984E-9</c:v>
                </c:pt>
                <c:pt idx="217">
                  <c:v>9.3236683170295575E-9</c:v>
                </c:pt>
                <c:pt idx="218">
                  <c:v>9.2332587392730437E-9</c:v>
                </c:pt>
                <c:pt idx="219">
                  <c:v>9.1441818023757396E-9</c:v>
                </c:pt>
                <c:pt idx="220">
                  <c:v>9.0564109982178117E-9</c:v>
                </c:pt>
                <c:pt idx="221">
                  <c:v>8.9699204847755817E-9</c:v>
                </c:pt>
                <c:pt idx="222">
                  <c:v>8.8846850658556423E-9</c:v>
                </c:pt>
                <c:pt idx="223">
                  <c:v>8.800680171553604E-9</c:v>
                </c:pt>
                <c:pt idx="224">
                  <c:v>8.7178818394077391E-9</c:v>
                </c:pt>
                <c:pt idx="225">
                  <c:v>8.6362666962190842E-9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9E-47BC-A0F0-6BC4A8DF2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359920"/>
        <c:axId val="523356592"/>
      </c:scatterChart>
      <c:valAx>
        <c:axId val="523359920"/>
        <c:scaling>
          <c:orientation val="minMax"/>
          <c:max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3356592"/>
        <c:crosses val="autoZero"/>
        <c:crossBetween val="midCat"/>
      </c:valAx>
      <c:valAx>
        <c:axId val="523356592"/>
        <c:scaling>
          <c:orientation val="minMax"/>
          <c:max val="8.0000000000000039E-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3359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047276270851429"/>
          <c:y val="9.3982896285183082E-2"/>
          <c:w val="0.42282554435511671"/>
          <c:h val="0.29287840140765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28574</xdr:colOff>
      <xdr:row>10</xdr:row>
      <xdr:rowOff>95249</xdr:rowOff>
    </xdr:from>
    <xdr:to>
      <xdr:col>18</xdr:col>
      <xdr:colOff>666749</xdr:colOff>
      <xdr:row>25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F5C95C3-7C2F-43D0-9264-E5E7315FD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12</xdr:row>
      <xdr:rowOff>0</xdr:rowOff>
    </xdr:from>
    <xdr:to>
      <xdr:col>25</xdr:col>
      <xdr:colOff>118533</xdr:colOff>
      <xdr:row>22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4EFBB21-8439-4AAC-A306-F94E9FD9B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82675" y="2857500"/>
          <a:ext cx="4233333" cy="238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2CEA-BDD3-43F9-BDCB-DB3554338394}">
  <dimension ref="A2:Y236"/>
  <sheetViews>
    <sheetView tabSelected="1" topLeftCell="B1" workbookViewId="0">
      <selection activeCell="H11" sqref="H11"/>
    </sheetView>
  </sheetViews>
  <sheetFormatPr defaultRowHeight="18.75"/>
  <cols>
    <col min="1" max="2" width="9" style="1"/>
    <col min="3" max="3" width="15.25" style="1" customWidth="1"/>
    <col min="4" max="6" width="9" style="1"/>
    <col min="7" max="7" width="15.375" style="1" customWidth="1"/>
    <col min="8" max="8" width="16.875" style="1" customWidth="1"/>
    <col min="9" max="9" width="9" style="1"/>
    <col min="10" max="10" width="12.625" style="1" customWidth="1"/>
    <col min="11" max="16384" width="9" style="1"/>
  </cols>
  <sheetData>
    <row r="2" spans="1:25">
      <c r="A2" s="1" t="s">
        <v>1</v>
      </c>
      <c r="T2" s="1" t="s">
        <v>11</v>
      </c>
    </row>
    <row r="3" spans="1:25">
      <c r="A3" s="1" t="s">
        <v>2</v>
      </c>
      <c r="T3" s="1" t="s">
        <v>12</v>
      </c>
      <c r="U3" s="1" t="s">
        <v>13</v>
      </c>
      <c r="W3" s="1" t="s">
        <v>14</v>
      </c>
    </row>
    <row r="4" spans="1:25">
      <c r="A4" s="3">
        <v>0.37708333333333338</v>
      </c>
      <c r="B4" s="1" t="s">
        <v>3</v>
      </c>
      <c r="C4" s="1" t="s">
        <v>4</v>
      </c>
      <c r="D4" s="1">
        <v>2022</v>
      </c>
      <c r="T4" s="1" t="s">
        <v>15</v>
      </c>
      <c r="U4" s="4">
        <v>4.8958333333333328E-3</v>
      </c>
      <c r="W4" s="1" t="s">
        <v>16</v>
      </c>
      <c r="X4" s="1" t="s">
        <v>17</v>
      </c>
      <c r="Y4" s="1" t="s">
        <v>18</v>
      </c>
    </row>
    <row r="5" spans="1:25">
      <c r="T5" s="1" t="s">
        <v>19</v>
      </c>
      <c r="U5" s="1">
        <v>16203</v>
      </c>
      <c r="W5" s="1">
        <v>0.1</v>
      </c>
      <c r="X5" s="1">
        <v>8.6897000000000002E-2</v>
      </c>
      <c r="Y5" s="1">
        <v>13.1</v>
      </c>
    </row>
    <row r="6" spans="1:25">
      <c r="T6" s="1" t="s">
        <v>20</v>
      </c>
      <c r="U6" s="1">
        <v>9977</v>
      </c>
    </row>
    <row r="7" spans="1:25">
      <c r="A7" s="1" t="s">
        <v>5</v>
      </c>
      <c r="T7" s="1" t="s">
        <v>21</v>
      </c>
      <c r="U7" s="1">
        <v>6071.76</v>
      </c>
    </row>
    <row r="8" spans="1:25">
      <c r="A8" s="1" t="s">
        <v>6</v>
      </c>
      <c r="T8" s="1" t="s">
        <v>22</v>
      </c>
      <c r="U8" s="1" t="s">
        <v>23</v>
      </c>
    </row>
    <row r="9" spans="1:25">
      <c r="B9" s="5" t="s">
        <v>26</v>
      </c>
      <c r="F9" s="1" t="s">
        <v>7</v>
      </c>
    </row>
    <row r="10" spans="1:25">
      <c r="A10" s="1" t="s">
        <v>8</v>
      </c>
      <c r="B10" s="1" t="s">
        <v>9</v>
      </c>
      <c r="C10" s="1" t="s">
        <v>10</v>
      </c>
      <c r="D10" s="5" t="s">
        <v>25</v>
      </c>
      <c r="F10" s="5" t="s">
        <v>29</v>
      </c>
      <c r="G10" s="5" t="s">
        <v>30</v>
      </c>
      <c r="H10" s="5" t="s">
        <v>31</v>
      </c>
      <c r="I10" s="5" t="s">
        <v>28</v>
      </c>
      <c r="J10" s="5" t="s">
        <v>27</v>
      </c>
    </row>
    <row r="11" spans="1:25">
      <c r="A11" s="1">
        <v>1</v>
      </c>
      <c r="B11" s="2">
        <v>1.5916999999999999E-6</v>
      </c>
      <c r="C11" s="2">
        <v>1.5459999999999999E-7</v>
      </c>
      <c r="D11" s="1">
        <f t="shared" ref="D11:D74" si="0">0.7*0.00000077058</f>
        <v>5.3940599999999993E-7</v>
      </c>
      <c r="F11" s="1">
        <v>0</v>
      </c>
      <c r="G11" s="2">
        <f>$J$11/((1-(F11/$I$11)^2)^2+(2*0*(F11/$I$11))^2)^(1/2)</f>
        <v>1.5200000000000001E-7</v>
      </c>
      <c r="H11" s="1">
        <f t="shared" ref="H11:H74" si="1">$J$11/((1-(F11/$I$11)^2)^2+(2*0.1*(F11/$I$11))^2)^(1/2)</f>
        <v>1.5200000000000001E-7</v>
      </c>
      <c r="I11" s="1">
        <v>5.22</v>
      </c>
      <c r="J11" s="2">
        <v>1.5200000000000001E-7</v>
      </c>
    </row>
    <row r="12" spans="1:25">
      <c r="A12" s="1">
        <v>2</v>
      </c>
      <c r="B12" s="1">
        <v>1.81E-3</v>
      </c>
      <c r="C12" s="2">
        <v>1.5459999999999999E-7</v>
      </c>
      <c r="D12" s="1">
        <f t="shared" si="0"/>
        <v>5.3940599999999993E-7</v>
      </c>
      <c r="F12" s="1">
        <f t="shared" ref="F12:F75" si="2">0.1+F11</f>
        <v>0.1</v>
      </c>
      <c r="G12" s="2">
        <f t="shared" ref="G11:G74" si="3">$J$11/((1-(F12/$I$11)^2)^2+(2*0*(F12/$I$11))^2)^(1/2)</f>
        <v>1.5205580357142859E-7</v>
      </c>
      <c r="H12" s="1">
        <f t="shared" si="1"/>
        <v>1.520546866926714E-7</v>
      </c>
      <c r="T12" t="s">
        <v>0</v>
      </c>
    </row>
    <row r="13" spans="1:25">
      <c r="A13" s="1">
        <v>3</v>
      </c>
      <c r="B13" s="1">
        <v>3.7065000000000002E-3</v>
      </c>
      <c r="C13" s="2">
        <v>1.5459999999999999E-7</v>
      </c>
      <c r="D13" s="1">
        <f t="shared" si="0"/>
        <v>5.3940599999999993E-7</v>
      </c>
      <c r="F13" s="1">
        <f t="shared" si="2"/>
        <v>0.2</v>
      </c>
      <c r="G13" s="2">
        <f t="shared" si="3"/>
        <v>1.5222346040193471E-7</v>
      </c>
      <c r="H13" s="1">
        <f t="shared" si="1"/>
        <v>1.5221897824153634E-7</v>
      </c>
    </row>
    <row r="14" spans="1:25">
      <c r="A14" s="1">
        <v>4</v>
      </c>
      <c r="B14" s="1">
        <v>5.7034E-3</v>
      </c>
      <c r="C14" s="2">
        <v>1.5459999999999999E-7</v>
      </c>
      <c r="D14" s="1">
        <f t="shared" si="0"/>
        <v>5.3940599999999993E-7</v>
      </c>
      <c r="F14" s="1">
        <f t="shared" si="2"/>
        <v>0.30000000000000004</v>
      </c>
      <c r="G14" s="2">
        <f>$J$11/((1-(F14/$I$11)^2)^2+(2*0*(F14/$I$11))^2)^(1/2)</f>
        <v>1.5250371155885472E-7</v>
      </c>
      <c r="H14" s="1">
        <f t="shared" si="1"/>
        <v>1.5249357145864414E-7</v>
      </c>
    </row>
    <row r="15" spans="1:25">
      <c r="A15" s="1">
        <v>5</v>
      </c>
      <c r="B15" s="1">
        <v>7.8185000000000008E-3</v>
      </c>
      <c r="C15" s="2">
        <v>1.5459999999999999E-7</v>
      </c>
      <c r="D15" s="1">
        <f t="shared" si="0"/>
        <v>5.3940599999999993E-7</v>
      </c>
      <c r="F15" s="1">
        <f t="shared" si="2"/>
        <v>0.4</v>
      </c>
      <c r="G15" s="2">
        <f t="shared" si="3"/>
        <v>1.5289780127286959E-7</v>
      </c>
      <c r="H15" s="1">
        <f t="shared" si="1"/>
        <v>1.5287963574113933E-7</v>
      </c>
    </row>
    <row r="16" spans="1:25">
      <c r="A16" s="1">
        <v>6</v>
      </c>
      <c r="B16" s="1">
        <v>1.0076E-2</v>
      </c>
      <c r="C16" s="2">
        <v>1.5459999999999999E-7</v>
      </c>
      <c r="D16" s="1">
        <f t="shared" si="0"/>
        <v>5.3940599999999993E-7</v>
      </c>
      <c r="F16" s="1">
        <f t="shared" si="2"/>
        <v>0.5</v>
      </c>
      <c r="G16" s="2">
        <f t="shared" si="3"/>
        <v>1.534074908142705E-7</v>
      </c>
      <c r="H16" s="1">
        <f t="shared" si="1"/>
        <v>1.5337882529712072E-7</v>
      </c>
    </row>
    <row r="17" spans="1:14">
      <c r="A17" s="1">
        <v>7</v>
      </c>
      <c r="B17" s="1">
        <v>1.2508E-2</v>
      </c>
      <c r="C17" s="2">
        <v>1.5461000000000001E-7</v>
      </c>
      <c r="D17" s="1">
        <f t="shared" si="0"/>
        <v>5.3940599999999993E-7</v>
      </c>
      <c r="F17" s="1">
        <f t="shared" si="2"/>
        <v>0.6</v>
      </c>
      <c r="G17" s="2">
        <f t="shared" si="3"/>
        <v>1.5403507832373812E-7</v>
      </c>
      <c r="H17" s="1">
        <f t="shared" si="1"/>
        <v>1.539932965872781E-7</v>
      </c>
    </row>
    <row r="18" spans="1:14">
      <c r="A18" s="1">
        <v>8</v>
      </c>
      <c r="B18" s="1">
        <v>4.1495999999999998E-2</v>
      </c>
      <c r="C18" s="2">
        <v>1.5473999999999999E-7</v>
      </c>
      <c r="D18" s="1">
        <f t="shared" si="0"/>
        <v>5.3940599999999993E-7</v>
      </c>
      <c r="F18" s="1">
        <f t="shared" si="2"/>
        <v>0.7</v>
      </c>
      <c r="G18" s="2">
        <f t="shared" si="3"/>
        <v>1.547834250179383E-7</v>
      </c>
      <c r="H18" s="1">
        <f t="shared" si="1"/>
        <v>1.5472573131938998E-7</v>
      </c>
    </row>
    <row r="19" spans="1:14">
      <c r="A19" s="1">
        <v>9</v>
      </c>
      <c r="B19" s="1">
        <v>6.7826999999999998E-2</v>
      </c>
      <c r="C19" s="2">
        <v>1.5534000000000001E-7</v>
      </c>
      <c r="D19" s="1">
        <f t="shared" si="0"/>
        <v>5.3940599999999993E-7</v>
      </c>
      <c r="F19" s="1">
        <f t="shared" si="2"/>
        <v>0.79999999999999993</v>
      </c>
      <c r="G19" s="2">
        <f t="shared" si="3"/>
        <v>1.5565598833451092E-7</v>
      </c>
      <c r="H19" s="1">
        <f t="shared" si="1"/>
        <v>1.5557936544627246E-7</v>
      </c>
    </row>
    <row r="20" spans="1:14">
      <c r="A20" s="1">
        <v>10</v>
      </c>
      <c r="B20" s="1">
        <v>7.0483000000000004E-2</v>
      </c>
      <c r="C20" s="2">
        <v>1.5547E-7</v>
      </c>
      <c r="D20" s="1">
        <f t="shared" si="0"/>
        <v>5.3940599999999993E-7</v>
      </c>
      <c r="F20" s="1">
        <f t="shared" si="2"/>
        <v>0.89999999999999991</v>
      </c>
      <c r="G20" s="2">
        <f t="shared" si="3"/>
        <v>1.5665686274509806E-7</v>
      </c>
      <c r="H20" s="1">
        <f t="shared" si="1"/>
        <v>1.5655802474518004E-7</v>
      </c>
    </row>
    <row r="21" spans="1:14">
      <c r="A21" s="1">
        <v>11</v>
      </c>
      <c r="B21" s="1">
        <v>7.2915999999999995E-2</v>
      </c>
      <c r="C21" s="2">
        <v>1.5559999999999999E-7</v>
      </c>
      <c r="D21" s="1">
        <f t="shared" si="0"/>
        <v>5.3940599999999993E-7</v>
      </c>
      <c r="F21" s="1">
        <f t="shared" si="2"/>
        <v>0.99999999999999989</v>
      </c>
      <c r="G21" s="2">
        <f t="shared" si="3"/>
        <v>1.577908291553009E-7</v>
      </c>
      <c r="H21" s="1">
        <f t="shared" si="1"/>
        <v>1.5766616770224635E-7</v>
      </c>
    </row>
    <row r="22" spans="1:14">
      <c r="A22" s="1">
        <v>12</v>
      </c>
      <c r="B22" s="1">
        <v>7.5173000000000004E-2</v>
      </c>
      <c r="C22" s="2">
        <v>1.5569000000000001E-7</v>
      </c>
      <c r="D22" s="1">
        <f t="shared" si="0"/>
        <v>5.3940599999999993E-7</v>
      </c>
      <c r="F22" s="1">
        <f t="shared" si="2"/>
        <v>1.0999999999999999</v>
      </c>
      <c r="G22" s="2">
        <f t="shared" si="3"/>
        <v>1.590634140346565E-7</v>
      </c>
      <c r="H22" s="1">
        <f t="shared" si="1"/>
        <v>1.5890893659441277E-7</v>
      </c>
    </row>
    <row r="23" spans="1:14">
      <c r="A23" s="1">
        <v>13</v>
      </c>
      <c r="B23" s="1">
        <v>7.7287999999999996E-2</v>
      </c>
      <c r="C23" s="2">
        <v>1.5571000000000001E-7</v>
      </c>
      <c r="D23" s="1">
        <f t="shared" si="0"/>
        <v>5.3940599999999993E-7</v>
      </c>
      <c r="F23" s="1">
        <f t="shared" si="2"/>
        <v>1.2</v>
      </c>
      <c r="G23" s="2">
        <f t="shared" si="3"/>
        <v>1.6048095968754361E-7</v>
      </c>
      <c r="H23" s="1">
        <f t="shared" si="1"/>
        <v>1.602922178595795E-7</v>
      </c>
    </row>
    <row r="24" spans="1:14">
      <c r="A24" s="1">
        <v>14</v>
      </c>
      <c r="B24" s="1">
        <v>7.9284999999999994E-2</v>
      </c>
      <c r="C24" s="2">
        <v>1.5557999999999999E-7</v>
      </c>
      <c r="D24" s="1">
        <f t="shared" si="0"/>
        <v>5.3940599999999993E-7</v>
      </c>
      <c r="F24" s="1">
        <f t="shared" si="2"/>
        <v>1.3</v>
      </c>
      <c r="G24" s="2">
        <f t="shared" si="3"/>
        <v>1.6205070739952423E-7</v>
      </c>
      <c r="H24" s="1">
        <f t="shared" si="1"/>
        <v>1.6182271308097722E-7</v>
      </c>
    </row>
    <row r="25" spans="1:14">
      <c r="A25" s="1">
        <v>15</v>
      </c>
      <c r="B25" s="1">
        <v>8.1181000000000003E-2</v>
      </c>
      <c r="C25" s="2">
        <v>1.5529000000000001E-7</v>
      </c>
      <c r="D25" s="1">
        <f t="shared" si="0"/>
        <v>5.3940599999999993E-7</v>
      </c>
      <c r="F25" s="1">
        <f t="shared" si="2"/>
        <v>1.4000000000000001</v>
      </c>
      <c r="G25" s="2">
        <f t="shared" si="3"/>
        <v>1.6378089558849119E-7</v>
      </c>
      <c r="H25" s="1">
        <f t="shared" si="1"/>
        <v>1.6350802219332144E-7</v>
      </c>
    </row>
    <row r="26" spans="1:14">
      <c r="A26" s="1">
        <v>16</v>
      </c>
      <c r="B26" s="1">
        <v>8.2990999999999995E-2</v>
      </c>
      <c r="C26" s="2">
        <v>1.5487000000000001E-7</v>
      </c>
      <c r="D26" s="1">
        <f t="shared" si="0"/>
        <v>5.3940599999999993E-7</v>
      </c>
      <c r="F26" s="1">
        <f t="shared" si="2"/>
        <v>1.5000000000000002</v>
      </c>
      <c r="G26" s="2">
        <f t="shared" si="3"/>
        <v>1.6568087557603686E-7</v>
      </c>
      <c r="H26" s="1">
        <f t="shared" si="1"/>
        <v>1.6535674085781517E-7</v>
      </c>
      <c r="N26" s="5" t="s">
        <v>24</v>
      </c>
    </row>
    <row r="27" spans="1:14">
      <c r="A27" s="1">
        <v>17</v>
      </c>
      <c r="B27" s="1">
        <v>8.4076999999999999E-2</v>
      </c>
      <c r="C27" s="2">
        <v>1.5459000000000001E-7</v>
      </c>
      <c r="D27" s="1">
        <f t="shared" si="0"/>
        <v>5.3940599999999993E-7</v>
      </c>
      <c r="F27" s="1">
        <f t="shared" si="2"/>
        <v>1.6000000000000003</v>
      </c>
      <c r="G27" s="2">
        <f t="shared" si="3"/>
        <v>1.6776124819753408E-7</v>
      </c>
      <c r="H27" s="1">
        <f t="shared" si="1"/>
        <v>1.673785743651015E-7</v>
      </c>
    </row>
    <row r="28" spans="1:14">
      <c r="A28" s="1">
        <v>18</v>
      </c>
      <c r="B28" s="1">
        <v>8.5213999999999998E-2</v>
      </c>
      <c r="C28" s="2">
        <v>1.5431999999999999E-7</v>
      </c>
      <c r="D28" s="1">
        <f t="shared" si="0"/>
        <v>5.3940599999999993E-7</v>
      </c>
      <c r="F28" s="1">
        <f t="shared" si="2"/>
        <v>1.7000000000000004</v>
      </c>
      <c r="G28" s="2">
        <f t="shared" si="3"/>
        <v>1.700340252233316E-7</v>
      </c>
      <c r="H28" s="1">
        <f t="shared" si="1"/>
        <v>1.6958447092825335E-7</v>
      </c>
    </row>
    <row r="29" spans="1:14">
      <c r="A29" s="1">
        <v>19</v>
      </c>
      <c r="B29" s="1">
        <v>8.6412000000000003E-2</v>
      </c>
      <c r="C29" s="2">
        <v>1.5407E-7</v>
      </c>
      <c r="D29" s="1">
        <f t="shared" si="0"/>
        <v>5.3940599999999993E-7</v>
      </c>
      <c r="F29" s="1">
        <f t="shared" si="2"/>
        <v>1.8000000000000005</v>
      </c>
      <c r="G29" s="2">
        <f t="shared" si="3"/>
        <v>1.7251282051282055E-7</v>
      </c>
      <c r="H29" s="1">
        <f t="shared" si="1"/>
        <v>1.7198677784518271E-7</v>
      </c>
    </row>
    <row r="30" spans="1:14">
      <c r="A30" s="1">
        <v>20</v>
      </c>
      <c r="B30" s="1">
        <v>8.7679999999999994E-2</v>
      </c>
      <c r="C30" s="2">
        <v>1.5386999999999999E-7</v>
      </c>
      <c r="D30" s="1">
        <f t="shared" si="0"/>
        <v>5.3940599999999993E-7</v>
      </c>
      <c r="F30" s="1">
        <f t="shared" si="2"/>
        <v>1.9000000000000006</v>
      </c>
      <c r="G30" s="2">
        <f t="shared" si="3"/>
        <v>1.7521307702720999E-7</v>
      </c>
      <c r="H30" s="1">
        <f t="shared" si="1"/>
        <v>1.7459942477118124E-7</v>
      </c>
    </row>
    <row r="31" spans="1:14">
      <c r="A31" s="1">
        <v>21</v>
      </c>
      <c r="B31" s="1">
        <v>8.9034000000000002E-2</v>
      </c>
      <c r="C31" s="2">
        <v>1.5372E-7</v>
      </c>
      <c r="D31" s="1">
        <f t="shared" si="0"/>
        <v>5.3940599999999993E-7</v>
      </c>
      <c r="F31" s="1">
        <f t="shared" si="2"/>
        <v>2.0000000000000004</v>
      </c>
      <c r="G31" s="2">
        <f t="shared" si="3"/>
        <v>1.7815233736515204E-7</v>
      </c>
      <c r="H31" s="1">
        <f t="shared" si="1"/>
        <v>1.7743813928567558E-7</v>
      </c>
    </row>
    <row r="32" spans="1:14">
      <c r="A32" s="1">
        <v>22</v>
      </c>
      <c r="B32" s="1">
        <v>9.0492000000000003E-2</v>
      </c>
      <c r="C32" s="2">
        <v>1.5362E-7</v>
      </c>
      <c r="D32" s="1">
        <f t="shared" si="0"/>
        <v>5.3940599999999993E-7</v>
      </c>
      <c r="F32" s="1">
        <f t="shared" si="2"/>
        <v>2.1000000000000005</v>
      </c>
      <c r="G32" s="2">
        <f t="shared" si="3"/>
        <v>1.8135056746532161E-7</v>
      </c>
      <c r="H32" s="1">
        <f t="shared" si="1"/>
        <v>1.8052070111140556E-7</v>
      </c>
    </row>
    <row r="33" spans="1:8">
      <c r="A33" s="1">
        <v>23</v>
      </c>
      <c r="B33" s="1">
        <v>0.10788</v>
      </c>
      <c r="C33" s="2">
        <v>1.5374E-7</v>
      </c>
      <c r="D33" s="1">
        <f t="shared" si="0"/>
        <v>5.3940599999999993E-7</v>
      </c>
      <c r="F33" s="1">
        <f t="shared" si="2"/>
        <v>2.2000000000000006</v>
      </c>
      <c r="G33" s="2">
        <f t="shared" si="3"/>
        <v>1.848305456882241E-7</v>
      </c>
      <c r="H33" s="1">
        <f t="shared" si="1"/>
        <v>1.8386724281171442E-7</v>
      </c>
    </row>
    <row r="34" spans="1:8">
      <c r="A34" s="1">
        <v>24</v>
      </c>
      <c r="B34" s="1">
        <v>0.12367</v>
      </c>
      <c r="C34" s="2">
        <v>1.5398000000000001E-7</v>
      </c>
      <c r="D34" s="1">
        <f t="shared" si="0"/>
        <v>5.3940599999999993E-7</v>
      </c>
      <c r="F34" s="1">
        <f t="shared" si="2"/>
        <v>2.3000000000000007</v>
      </c>
      <c r="G34" s="2">
        <f t="shared" si="3"/>
        <v>1.8861833284756635E-7</v>
      </c>
      <c r="H34" s="1">
        <f t="shared" si="1"/>
        <v>1.8750060663307357E-7</v>
      </c>
    </row>
    <row r="35" spans="1:8">
      <c r="A35" s="1">
        <v>25</v>
      </c>
      <c r="B35" s="1">
        <v>0.12526000000000001</v>
      </c>
      <c r="C35" s="2">
        <v>1.5402E-7</v>
      </c>
      <c r="D35" s="1">
        <f t="shared" si="0"/>
        <v>5.3940599999999993E-7</v>
      </c>
      <c r="F35" s="1">
        <f t="shared" si="2"/>
        <v>2.4000000000000008</v>
      </c>
      <c r="G35" s="2">
        <f t="shared" si="3"/>
        <v>1.9274384318981408E-7</v>
      </c>
      <c r="H35" s="1">
        <f t="shared" si="1"/>
        <v>1.9144676947915848E-7</v>
      </c>
    </row>
    <row r="36" spans="1:8">
      <c r="A36" s="1">
        <v>26</v>
      </c>
      <c r="B36" s="1">
        <v>0.12672</v>
      </c>
      <c r="C36" s="2">
        <v>1.5405999999999999E-7</v>
      </c>
      <c r="D36" s="1">
        <f t="shared" si="0"/>
        <v>5.3940599999999993E-7</v>
      </c>
      <c r="F36" s="1">
        <f t="shared" si="2"/>
        <v>2.5000000000000009</v>
      </c>
      <c r="G36" s="2">
        <f t="shared" si="3"/>
        <v>1.9724154221274007E-7</v>
      </c>
      <c r="H36" s="1">
        <f t="shared" si="1"/>
        <v>1.9573535093333846E-7</v>
      </c>
    </row>
    <row r="37" spans="1:8">
      <c r="A37" s="1">
        <v>27</v>
      </c>
      <c r="B37" s="1">
        <v>0.12806999999999999</v>
      </c>
      <c r="C37" s="2">
        <v>1.5410000000000001E-7</v>
      </c>
      <c r="D37" s="1">
        <f t="shared" si="0"/>
        <v>5.3940599999999993E-7</v>
      </c>
      <c r="F37" s="1">
        <f t="shared" si="2"/>
        <v>2.600000000000001</v>
      </c>
      <c r="G37" s="2">
        <f t="shared" si="3"/>
        <v>2.0215130512875585E-7</v>
      </c>
      <c r="H37" s="1">
        <f t="shared" si="1"/>
        <v>2.0040022295971999E-7</v>
      </c>
    </row>
    <row r="38" spans="1:8">
      <c r="A38" s="1">
        <v>28</v>
      </c>
      <c r="B38" s="1">
        <v>0.12934000000000001</v>
      </c>
      <c r="C38" s="2">
        <v>1.5414E-7</v>
      </c>
      <c r="D38" s="1">
        <f t="shared" si="0"/>
        <v>5.3940599999999993E-7</v>
      </c>
      <c r="F38" s="1">
        <f t="shared" si="2"/>
        <v>2.7000000000000011</v>
      </c>
      <c r="G38" s="2">
        <f t="shared" si="3"/>
        <v>2.0751948051948061E-7</v>
      </c>
      <c r="H38" s="1">
        <f t="shared" si="1"/>
        <v>2.0548024462733727E-7</v>
      </c>
    </row>
    <row r="39" spans="1:8">
      <c r="A39" s="1">
        <v>29</v>
      </c>
      <c r="B39" s="1">
        <v>0.13053999999999999</v>
      </c>
      <c r="C39" s="2">
        <v>1.5417999999999999E-7</v>
      </c>
      <c r="D39" s="1">
        <f t="shared" si="0"/>
        <v>5.3940599999999993E-7</v>
      </c>
      <c r="F39" s="1">
        <f t="shared" si="2"/>
        <v>2.8000000000000012</v>
      </c>
      <c r="G39" s="2">
        <f t="shared" si="3"/>
        <v>2.1340021846210927E-7</v>
      </c>
      <c r="H39" s="1">
        <f t="shared" si="1"/>
        <v>2.1102015119293845E-7</v>
      </c>
    </row>
    <row r="40" spans="1:8">
      <c r="A40" s="1">
        <v>30</v>
      </c>
      <c r="B40" s="1">
        <v>0.13167999999999999</v>
      </c>
      <c r="C40" s="2">
        <v>1.5421E-7</v>
      </c>
      <c r="D40" s="1">
        <f t="shared" si="0"/>
        <v>5.3940599999999993E-7</v>
      </c>
      <c r="F40" s="1">
        <f t="shared" si="2"/>
        <v>2.9000000000000012</v>
      </c>
      <c r="G40" s="2">
        <f t="shared" si="3"/>
        <v>2.1985714285714297E-7</v>
      </c>
      <c r="H40" s="1">
        <f t="shared" si="1"/>
        <v>2.1707163448497715E-7</v>
      </c>
    </row>
    <row r="41" spans="1:8">
      <c r="A41" s="1">
        <v>31</v>
      </c>
      <c r="B41" s="1">
        <v>0.13275999999999999</v>
      </c>
      <c r="C41" s="2">
        <v>1.5424999999999999E-7</v>
      </c>
      <c r="D41" s="1">
        <f t="shared" si="0"/>
        <v>5.3940599999999993E-7</v>
      </c>
      <c r="F41" s="1">
        <f t="shared" si="2"/>
        <v>3.0000000000000013</v>
      </c>
      <c r="G41" s="2">
        <f t="shared" si="3"/>
        <v>2.2696547642533055E-7</v>
      </c>
      <c r="H41" s="1">
        <f t="shared" si="1"/>
        <v>2.2369466116012566E-7</v>
      </c>
    </row>
    <row r="42" spans="1:8">
      <c r="A42" s="1">
        <v>32</v>
      </c>
      <c r="B42" s="1">
        <v>0.13327</v>
      </c>
      <c r="C42" s="2">
        <v>1.5426000000000001E-7</v>
      </c>
      <c r="D42" s="1">
        <f t="shared" si="0"/>
        <v>5.3940599999999993E-7</v>
      </c>
      <c r="F42" s="1">
        <f t="shared" si="2"/>
        <v>3.1000000000000014</v>
      </c>
      <c r="G42" s="2">
        <f t="shared" si="3"/>
        <v>2.3481476777939062E-7</v>
      </c>
      <c r="H42" s="1">
        <f t="shared" si="1"/>
        <v>2.3095908750634906E-7</v>
      </c>
    </row>
    <row r="43" spans="1:8">
      <c r="A43" s="1">
        <v>33</v>
      </c>
      <c r="B43" s="1">
        <v>0.13381000000000001</v>
      </c>
      <c r="C43" s="2">
        <v>1.5426999999999999E-7</v>
      </c>
      <c r="D43" s="1">
        <f t="shared" si="0"/>
        <v>5.3940599999999993E-7</v>
      </c>
      <c r="F43" s="1">
        <f t="shared" si="2"/>
        <v>3.2000000000000015</v>
      </c>
      <c r="G43" s="2">
        <f t="shared" si="3"/>
        <v>2.4351242915265414E-7</v>
      </c>
      <c r="H43" s="1">
        <f t="shared" si="1"/>
        <v>2.389466444814403E-7</v>
      </c>
    </row>
    <row r="44" spans="1:8">
      <c r="A44" s="1">
        <v>34</v>
      </c>
      <c r="B44" s="1">
        <v>0.13436999999999999</v>
      </c>
      <c r="C44" s="2">
        <v>1.5428999999999999E-7</v>
      </c>
      <c r="D44" s="1">
        <f t="shared" si="0"/>
        <v>5.3940599999999993E-7</v>
      </c>
      <c r="F44" s="1">
        <f t="shared" si="2"/>
        <v>3.3000000000000016</v>
      </c>
      <c r="G44" s="2">
        <f t="shared" si="3"/>
        <v>2.5318838028169034E-7</v>
      </c>
      <c r="H44" s="1">
        <f t="shared" si="1"/>
        <v>2.4775338487127744E-7</v>
      </c>
    </row>
    <row r="45" spans="1:8">
      <c r="A45" s="1">
        <v>35</v>
      </c>
      <c r="B45" s="1">
        <v>0.13497000000000001</v>
      </c>
      <c r="C45" s="2">
        <v>1.543E-7</v>
      </c>
      <c r="D45" s="1">
        <f t="shared" si="0"/>
        <v>5.3940599999999993E-7</v>
      </c>
      <c r="F45" s="1">
        <f t="shared" si="2"/>
        <v>3.4000000000000017</v>
      </c>
      <c r="G45" s="2">
        <f t="shared" si="3"/>
        <v>2.6400122383417072E-7</v>
      </c>
      <c r="H45" s="1">
        <f t="shared" si="1"/>
        <v>2.5749270557362207E-7</v>
      </c>
    </row>
    <row r="46" spans="1:8">
      <c r="A46" s="1">
        <v>36</v>
      </c>
      <c r="B46" s="1">
        <v>0.13561000000000001</v>
      </c>
      <c r="C46" s="2">
        <v>1.5431999999999999E-7</v>
      </c>
      <c r="D46" s="1">
        <f t="shared" si="0"/>
        <v>5.3940599999999993E-7</v>
      </c>
      <c r="F46" s="1">
        <f t="shared" si="2"/>
        <v>3.5000000000000018</v>
      </c>
      <c r="G46" s="2">
        <f t="shared" si="3"/>
        <v>2.7614657563473463E-7</v>
      </c>
      <c r="H46" s="1">
        <f t="shared" si="1"/>
        <v>2.6829908052305945E-7</v>
      </c>
    </row>
    <row r="47" spans="1:8">
      <c r="A47" s="1">
        <v>37</v>
      </c>
      <c r="B47" s="1">
        <v>0.13628999999999999</v>
      </c>
      <c r="C47" s="2">
        <v>1.5433000000000001E-7</v>
      </c>
      <c r="D47" s="1">
        <f t="shared" si="0"/>
        <v>5.3940599999999993E-7</v>
      </c>
      <c r="F47" s="1">
        <f t="shared" si="2"/>
        <v>3.6000000000000019</v>
      </c>
      <c r="G47" s="2">
        <f t="shared" si="3"/>
        <v>2.8986848072562388E-7</v>
      </c>
      <c r="H47" s="1">
        <f t="shared" si="1"/>
        <v>2.8033265925014887E-7</v>
      </c>
    </row>
    <row r="48" spans="1:8">
      <c r="A48" s="1">
        <v>38</v>
      </c>
      <c r="B48" s="1">
        <v>0.14448</v>
      </c>
      <c r="C48" s="2">
        <v>1.5442E-7</v>
      </c>
      <c r="D48" s="1">
        <f t="shared" si="0"/>
        <v>5.3940599999999993E-7</v>
      </c>
      <c r="F48" s="1">
        <f t="shared" si="2"/>
        <v>3.700000000000002</v>
      </c>
      <c r="G48" s="2">
        <f t="shared" si="3"/>
        <v>3.0547533632287035E-7</v>
      </c>
      <c r="H48" s="1">
        <f t="shared" si="1"/>
        <v>2.9378489189620192E-7</v>
      </c>
    </row>
    <row r="49" spans="1:8">
      <c r="A49" s="1">
        <v>39</v>
      </c>
      <c r="B49" s="1">
        <v>0.15190999999999999</v>
      </c>
      <c r="C49" s="2">
        <v>1.5445999999999999E-7</v>
      </c>
      <c r="D49" s="1">
        <f t="shared" si="0"/>
        <v>5.3940599999999993E-7</v>
      </c>
      <c r="F49" s="1">
        <f t="shared" si="2"/>
        <v>3.800000000000002</v>
      </c>
      <c r="G49" s="2">
        <f t="shared" si="3"/>
        <v>3.2336254333093955E-7</v>
      </c>
      <c r="H49" s="1">
        <f t="shared" si="1"/>
        <v>3.088853100506245E-7</v>
      </c>
    </row>
    <row r="50" spans="1:8">
      <c r="A50" s="1">
        <v>40</v>
      </c>
      <c r="B50" s="1">
        <v>0.15265999999999999</v>
      </c>
      <c r="C50" s="2">
        <v>1.5445999999999999E-7</v>
      </c>
      <c r="D50" s="1">
        <f t="shared" si="0"/>
        <v>5.3940599999999993E-7</v>
      </c>
      <c r="F50" s="1">
        <f t="shared" si="2"/>
        <v>3.9000000000000021</v>
      </c>
      <c r="G50" s="2">
        <f t="shared" si="3"/>
        <v>3.4404545454545511E-7</v>
      </c>
      <c r="H50" s="1">
        <f t="shared" si="1"/>
        <v>3.2590947340781008E-7</v>
      </c>
    </row>
    <row r="51" spans="1:8">
      <c r="A51" s="1">
        <v>41</v>
      </c>
      <c r="B51" s="1">
        <v>0.15334999999999999</v>
      </c>
      <c r="C51" s="2">
        <v>1.5447000000000001E-7</v>
      </c>
      <c r="D51" s="1">
        <f t="shared" si="0"/>
        <v>5.3940599999999993E-7</v>
      </c>
      <c r="F51" s="1">
        <f t="shared" si="2"/>
        <v>4.0000000000000018</v>
      </c>
      <c r="G51" s="2">
        <f t="shared" si="3"/>
        <v>3.6820852743501345E-7</v>
      </c>
      <c r="H51" s="1">
        <f t="shared" si="1"/>
        <v>3.4518777879675421E-7</v>
      </c>
    </row>
    <row r="52" spans="1:8">
      <c r="A52" s="1">
        <v>42</v>
      </c>
      <c r="B52" s="1">
        <v>0.15398999999999999</v>
      </c>
      <c r="C52" s="2">
        <v>1.5447000000000001E-7</v>
      </c>
      <c r="D52" s="1">
        <f t="shared" si="0"/>
        <v>5.3940599999999993E-7</v>
      </c>
      <c r="F52" s="1">
        <f t="shared" si="2"/>
        <v>4.1000000000000014</v>
      </c>
      <c r="G52" s="2">
        <f t="shared" si="3"/>
        <v>3.9678080931943641E-7</v>
      </c>
      <c r="H52" s="1">
        <f t="shared" si="1"/>
        <v>3.6711410129699237E-7</v>
      </c>
    </row>
    <row r="53" spans="1:8">
      <c r="A53" s="1">
        <v>43</v>
      </c>
      <c r="B53" s="1">
        <v>0.15458</v>
      </c>
      <c r="C53" s="2">
        <v>1.5447000000000001E-7</v>
      </c>
      <c r="D53" s="1">
        <f t="shared" si="0"/>
        <v>5.3940599999999993E-7</v>
      </c>
      <c r="F53" s="1">
        <f t="shared" si="2"/>
        <v>4.2000000000000011</v>
      </c>
      <c r="G53" s="2">
        <f t="shared" si="3"/>
        <v>4.3105582615211743E-7</v>
      </c>
      <c r="H53" s="1">
        <f t="shared" si="1"/>
        <v>3.92151650509512E-7</v>
      </c>
    </row>
    <row r="54" spans="1:8">
      <c r="A54" s="1">
        <v>44</v>
      </c>
      <c r="B54" s="1">
        <v>0.15515000000000001</v>
      </c>
      <c r="C54" s="2">
        <v>1.5447999999999999E-7</v>
      </c>
      <c r="D54" s="1">
        <f t="shared" si="0"/>
        <v>5.3940599999999993E-7</v>
      </c>
      <c r="F54" s="1">
        <f t="shared" si="2"/>
        <v>4.3000000000000007</v>
      </c>
      <c r="G54" s="2">
        <f t="shared" si="3"/>
        <v>4.7288966021191137E-7</v>
      </c>
      <c r="H54" s="1">
        <f t="shared" si="1"/>
        <v>4.2083009069115871E-7</v>
      </c>
    </row>
    <row r="55" spans="1:8">
      <c r="A55" s="1">
        <v>45</v>
      </c>
      <c r="B55" s="1">
        <v>0.15568000000000001</v>
      </c>
      <c r="C55" s="2">
        <v>1.5447999999999999E-7</v>
      </c>
      <c r="D55" s="1">
        <f t="shared" si="0"/>
        <v>5.3940599999999993E-7</v>
      </c>
      <c r="F55" s="1">
        <f t="shared" si="2"/>
        <v>4.4000000000000004</v>
      </c>
      <c r="G55" s="2">
        <f t="shared" si="3"/>
        <v>5.2504396328786613E-7</v>
      </c>
      <c r="H55" s="1">
        <f t="shared" si="1"/>
        <v>4.5372120247100605E-7</v>
      </c>
    </row>
    <row r="56" spans="1:8">
      <c r="A56" s="1">
        <v>46</v>
      </c>
      <c r="B56" s="1">
        <v>0.15619</v>
      </c>
      <c r="C56" s="2">
        <v>1.5447999999999999E-7</v>
      </c>
      <c r="D56" s="1">
        <f t="shared" si="0"/>
        <v>5.3940599999999993E-7</v>
      </c>
      <c r="F56" s="1">
        <f t="shared" si="2"/>
        <v>4.5</v>
      </c>
      <c r="G56" s="2">
        <f t="shared" si="3"/>
        <v>5.9181481481481504E-7</v>
      </c>
      <c r="H56" s="1">
        <f t="shared" si="1"/>
        <v>4.9136724237271571E-7</v>
      </c>
    </row>
    <row r="57" spans="1:8">
      <c r="A57" s="1">
        <v>47</v>
      </c>
      <c r="B57" s="1">
        <v>0.17463000000000001</v>
      </c>
      <c r="C57" s="2">
        <v>1.5445000000000001E-7</v>
      </c>
      <c r="D57" s="1">
        <f t="shared" si="0"/>
        <v>5.3940599999999993E-7</v>
      </c>
      <c r="F57" s="1">
        <f t="shared" si="2"/>
        <v>4.5999999999999996</v>
      </c>
      <c r="G57" s="2">
        <f t="shared" si="3"/>
        <v>6.8027015307798433E-7</v>
      </c>
      <c r="H57" s="1">
        <f t="shared" si="1"/>
        <v>5.3411281260791819E-7</v>
      </c>
    </row>
    <row r="58" spans="1:8">
      <c r="A58" s="1">
        <v>48</v>
      </c>
      <c r="B58" s="1">
        <v>0.19395000000000001</v>
      </c>
      <c r="C58" s="2">
        <v>1.5445000000000001E-7</v>
      </c>
      <c r="D58" s="1">
        <f t="shared" si="0"/>
        <v>5.3940599999999993E-7</v>
      </c>
      <c r="F58" s="1">
        <f t="shared" si="2"/>
        <v>4.6999999999999993</v>
      </c>
      <c r="G58" s="2">
        <f t="shared" si="3"/>
        <v>8.0291501240694756E-7</v>
      </c>
      <c r="H58" s="1">
        <f t="shared" si="1"/>
        <v>5.8175689673241277E-7</v>
      </c>
    </row>
    <row r="59" spans="1:8">
      <c r="A59" s="1">
        <v>49</v>
      </c>
      <c r="B59" s="1">
        <v>0.21429000000000001</v>
      </c>
      <c r="C59" s="2">
        <v>1.5449E-7</v>
      </c>
      <c r="D59" s="1">
        <f t="shared" si="0"/>
        <v>5.3940599999999993E-7</v>
      </c>
      <c r="F59" s="1">
        <f t="shared" si="2"/>
        <v>4.7999999999999989</v>
      </c>
      <c r="G59" s="2">
        <f t="shared" si="3"/>
        <v>9.841642429426847E-7</v>
      </c>
      <c r="H59" s="1">
        <f t="shared" si="1"/>
        <v>6.3291776643918476E-7</v>
      </c>
    </row>
    <row r="60" spans="1:8">
      <c r="A60" s="1">
        <v>50</v>
      </c>
      <c r="B60" s="1">
        <v>0.23583999999999999</v>
      </c>
      <c r="C60" s="2">
        <v>1.5454000000000001E-7</v>
      </c>
      <c r="D60" s="1">
        <f t="shared" si="0"/>
        <v>5.3940599999999993E-7</v>
      </c>
      <c r="F60" s="1">
        <f t="shared" si="2"/>
        <v>4.8999999999999986</v>
      </c>
      <c r="G60" s="2">
        <f t="shared" si="3"/>
        <v>1.2789515810276638E-6</v>
      </c>
      <c r="H60" s="1">
        <f t="shared" si="1"/>
        <v>6.8408255584495208E-7</v>
      </c>
    </row>
    <row r="61" spans="1:8">
      <c r="A61" s="1">
        <v>51</v>
      </c>
      <c r="B61" s="1">
        <v>0.25883</v>
      </c>
      <c r="C61" s="2">
        <v>1.5459999999999999E-7</v>
      </c>
      <c r="D61" s="1">
        <f t="shared" si="0"/>
        <v>5.3940599999999993E-7</v>
      </c>
      <c r="F61" s="1">
        <f t="shared" si="2"/>
        <v>4.9999999999999982</v>
      </c>
      <c r="G61" s="2">
        <f t="shared" si="3"/>
        <v>1.8420907311866103E-6</v>
      </c>
      <c r="H61" s="1">
        <f t="shared" si="1"/>
        <v>7.2871623048621175E-7</v>
      </c>
    </row>
    <row r="62" spans="1:8">
      <c r="A62" s="1">
        <v>52</v>
      </c>
      <c r="B62" s="1">
        <v>0.28360000000000002</v>
      </c>
      <c r="C62" s="2">
        <v>1.5468000000000001E-7</v>
      </c>
      <c r="D62" s="1">
        <f t="shared" si="0"/>
        <v>5.3940599999999993E-7</v>
      </c>
      <c r="F62" s="1">
        <f t="shared" si="2"/>
        <v>5.0999999999999979</v>
      </c>
      <c r="G62" s="2">
        <f t="shared" si="3"/>
        <v>3.3444418604650583E-6</v>
      </c>
      <c r="H62" s="1">
        <f t="shared" si="1"/>
        <v>7.5765839869580361E-7</v>
      </c>
    </row>
    <row r="63" spans="1:8">
      <c r="A63" s="1">
        <v>53</v>
      </c>
      <c r="B63" s="1">
        <v>0.57887999999999995</v>
      </c>
      <c r="C63" s="2">
        <v>1.5615000000000001E-7</v>
      </c>
      <c r="D63" s="1">
        <f t="shared" si="0"/>
        <v>5.3940599999999993E-7</v>
      </c>
      <c r="F63" s="1">
        <f t="shared" si="2"/>
        <v>5.1999999999999975</v>
      </c>
      <c r="G63" s="2">
        <f t="shared" si="3"/>
        <v>1.9874072936657941E-5</v>
      </c>
      <c r="H63" s="1">
        <f t="shared" si="1"/>
        <v>7.6236156519287355E-7</v>
      </c>
    </row>
    <row r="64" spans="1:8">
      <c r="A64" s="1">
        <v>54</v>
      </c>
      <c r="B64" s="1">
        <v>0.84709999999999996</v>
      </c>
      <c r="C64" s="2">
        <v>1.5839E-7</v>
      </c>
      <c r="D64" s="1">
        <f t="shared" si="0"/>
        <v>5.3940599999999993E-7</v>
      </c>
      <c r="F64" s="1">
        <f t="shared" si="2"/>
        <v>5.2999999999999972</v>
      </c>
      <c r="G64" s="2">
        <f t="shared" si="3"/>
        <v>4.9212889733841992E-6</v>
      </c>
      <c r="H64" s="1">
        <f t="shared" si="1"/>
        <v>7.4001730709246307E-7</v>
      </c>
    </row>
    <row r="65" spans="1:8">
      <c r="A65" s="1">
        <v>55</v>
      </c>
      <c r="B65" s="1">
        <v>0.87416000000000005</v>
      </c>
      <c r="C65" s="2">
        <v>1.5865999999999999E-7</v>
      </c>
      <c r="D65" s="1">
        <f t="shared" si="0"/>
        <v>5.3940599999999993E-7</v>
      </c>
      <c r="F65" s="1">
        <f t="shared" si="2"/>
        <v>5.3999999999999968</v>
      </c>
      <c r="G65" s="2">
        <f t="shared" si="3"/>
        <v>2.1666440677966459E-6</v>
      </c>
      <c r="H65" s="1">
        <f t="shared" si="1"/>
        <v>6.9575712403790523E-7</v>
      </c>
    </row>
    <row r="66" spans="1:8">
      <c r="A66" s="1">
        <v>56</v>
      </c>
      <c r="B66" s="1">
        <v>0.89893999999999996</v>
      </c>
      <c r="C66" s="2">
        <v>1.5893000000000001E-7</v>
      </c>
      <c r="D66" s="1">
        <f t="shared" si="0"/>
        <v>5.3940599999999993E-7</v>
      </c>
      <c r="F66" s="1">
        <f t="shared" si="2"/>
        <v>5.4999999999999964</v>
      </c>
      <c r="G66" s="2">
        <f t="shared" si="3"/>
        <v>1.3798496801705921E-6</v>
      </c>
      <c r="H66" s="1">
        <f t="shared" si="1"/>
        <v>6.3923789877321339E-7</v>
      </c>
    </row>
    <row r="67" spans="1:8">
      <c r="A67" s="1">
        <v>57</v>
      </c>
      <c r="B67" s="1">
        <v>0.92193000000000003</v>
      </c>
      <c r="C67" s="2">
        <v>1.5918E-7</v>
      </c>
      <c r="D67" s="1">
        <f t="shared" si="0"/>
        <v>5.3940599999999993E-7</v>
      </c>
      <c r="F67" s="1">
        <f t="shared" si="2"/>
        <v>5.5999999999999961</v>
      </c>
      <c r="G67" s="2">
        <f t="shared" si="3"/>
        <v>1.0073345656192338E-6</v>
      </c>
      <c r="H67" s="1">
        <f t="shared" si="1"/>
        <v>5.7947558513711364E-7</v>
      </c>
    </row>
    <row r="68" spans="1:8">
      <c r="A68" s="1">
        <v>58</v>
      </c>
      <c r="B68" s="1">
        <v>0.94347000000000003</v>
      </c>
      <c r="C68" s="2">
        <v>1.5942000000000001E-7</v>
      </c>
      <c r="D68" s="1">
        <f t="shared" si="0"/>
        <v>5.3940599999999993E-7</v>
      </c>
      <c r="F68" s="1">
        <f t="shared" si="2"/>
        <v>5.6999999999999957</v>
      </c>
      <c r="G68" s="2">
        <f t="shared" si="3"/>
        <v>7.9017032967033691E-7</v>
      </c>
      <c r="H68" s="1">
        <f t="shared" si="1"/>
        <v>5.2228344184016269E-7</v>
      </c>
    </row>
    <row r="69" spans="1:8">
      <c r="A69" s="1">
        <v>59</v>
      </c>
      <c r="B69" s="1">
        <v>0.96380999999999994</v>
      </c>
      <c r="C69" s="2">
        <v>1.5965999999999999E-7</v>
      </c>
      <c r="D69" s="1">
        <f t="shared" si="0"/>
        <v>5.3940599999999993E-7</v>
      </c>
      <c r="F69" s="1">
        <f t="shared" si="2"/>
        <v>5.7999999999999954</v>
      </c>
      <c r="G69" s="2">
        <f t="shared" si="3"/>
        <v>6.4800000000000517E-7</v>
      </c>
      <c r="H69" s="1">
        <f t="shared" si="1"/>
        <v>4.7041733917097776E-7</v>
      </c>
    </row>
    <row r="70" spans="1:8">
      <c r="A70" s="1">
        <v>60</v>
      </c>
      <c r="B70" s="1">
        <v>0.98312999999999995</v>
      </c>
      <c r="C70" s="2">
        <v>1.5989000000000001E-7</v>
      </c>
      <c r="D70" s="1">
        <f t="shared" si="0"/>
        <v>5.3940599999999993E-7</v>
      </c>
      <c r="F70" s="1">
        <f t="shared" si="2"/>
        <v>5.899999999999995</v>
      </c>
      <c r="G70" s="2">
        <f t="shared" si="3"/>
        <v>5.4773550571308052E-7</v>
      </c>
      <c r="H70" s="1">
        <f t="shared" si="1"/>
        <v>4.2467057818705307E-7</v>
      </c>
    </row>
    <row r="71" spans="1:8">
      <c r="A71" s="1">
        <v>61</v>
      </c>
      <c r="B71" s="1">
        <v>1.0016</v>
      </c>
      <c r="C71" s="2">
        <v>1.6012000000000001E-7</v>
      </c>
      <c r="D71" s="1">
        <f t="shared" si="0"/>
        <v>5.3940599999999993E-7</v>
      </c>
      <c r="F71" s="1">
        <f t="shared" si="2"/>
        <v>5.9999999999999947</v>
      </c>
      <c r="G71" s="2">
        <f t="shared" si="3"/>
        <v>4.7325709584533437E-7</v>
      </c>
      <c r="H71" s="1">
        <f t="shared" si="1"/>
        <v>3.8483755163817162E-7</v>
      </c>
    </row>
    <row r="72" spans="1:8">
      <c r="A72" s="1">
        <v>62</v>
      </c>
      <c r="B72" s="1">
        <v>1.0368999999999999</v>
      </c>
      <c r="C72" s="2">
        <v>1.6056999999999999E-7</v>
      </c>
      <c r="D72" s="1">
        <f t="shared" si="0"/>
        <v>5.3940599999999993E-7</v>
      </c>
      <c r="F72" s="1">
        <f t="shared" si="2"/>
        <v>6.0999999999999943</v>
      </c>
      <c r="G72" s="2">
        <f t="shared" si="3"/>
        <v>4.1577224542242487E-7</v>
      </c>
      <c r="H72" s="1">
        <f t="shared" si="1"/>
        <v>3.5030517424901872E-7</v>
      </c>
    </row>
    <row r="73" spans="1:8">
      <c r="A73" s="1">
        <v>63</v>
      </c>
      <c r="B73" s="1">
        <v>1.0740000000000001</v>
      </c>
      <c r="C73" s="2">
        <v>1.6105E-7</v>
      </c>
      <c r="D73" s="1">
        <f t="shared" si="0"/>
        <v>5.3940599999999993E-7</v>
      </c>
      <c r="F73" s="1">
        <f t="shared" si="2"/>
        <v>6.199999999999994</v>
      </c>
      <c r="G73" s="2">
        <f t="shared" si="3"/>
        <v>3.7007727223989645E-7</v>
      </c>
      <c r="H73" s="1">
        <f t="shared" si="1"/>
        <v>3.2035583384693317E-7</v>
      </c>
    </row>
    <row r="74" spans="1:8">
      <c r="A74" s="1">
        <v>64</v>
      </c>
      <c r="B74" s="1">
        <v>1.113</v>
      </c>
      <c r="C74" s="2">
        <v>1.6157999999999999E-7</v>
      </c>
      <c r="D74" s="1">
        <f t="shared" si="0"/>
        <v>5.3940599999999993E-7</v>
      </c>
      <c r="F74" s="1">
        <f t="shared" si="2"/>
        <v>6.2999999999999936</v>
      </c>
      <c r="G74" s="2">
        <f t="shared" si="3"/>
        <v>3.3289583333333541E-7</v>
      </c>
      <c r="H74" s="1">
        <f t="shared" si="1"/>
        <v>2.9430247457363433E-7</v>
      </c>
    </row>
    <row r="75" spans="1:8">
      <c r="A75" s="1">
        <v>65</v>
      </c>
      <c r="B75" s="1">
        <v>1.1544000000000001</v>
      </c>
      <c r="C75" s="2">
        <v>1.6217E-7</v>
      </c>
      <c r="D75" s="1">
        <f t="shared" ref="D75:D138" si="4">0.7*0.00000077058</f>
        <v>5.3940599999999993E-7</v>
      </c>
      <c r="F75" s="1">
        <f t="shared" si="2"/>
        <v>6.3999999999999932</v>
      </c>
      <c r="G75" s="2">
        <f t="shared" ref="G75:G138" si="5">$J$11/((1-(F75/$I$11)^2)^2+(2*0*(F75/$I$11))^2)^(1/2)</f>
        <v>3.0206225385804899E-7</v>
      </c>
      <c r="H75" s="1">
        <f t="shared" ref="H75:H138" si="6">$J$11/((1-(F75/$I$11)^2)^2+(2*0.1*(F75/$I$11))^2)^(1/2)</f>
        <v>2.7153850914423219E-7</v>
      </c>
    </row>
    <row r="76" spans="1:8">
      <c r="A76" s="1">
        <v>66</v>
      </c>
      <c r="B76" s="1">
        <v>1.1984999999999999</v>
      </c>
      <c r="C76" s="2">
        <v>1.6282E-7</v>
      </c>
      <c r="D76" s="1">
        <f t="shared" si="4"/>
        <v>5.3940599999999993E-7</v>
      </c>
      <c r="F76" s="1">
        <f t="shared" ref="F76:F139" si="7">0.1+F75</f>
        <v>6.4999999999999929</v>
      </c>
      <c r="G76" s="2">
        <f t="shared" si="5"/>
        <v>2.7608767064846582E-7</v>
      </c>
      <c r="H76" s="1">
        <f t="shared" si="6"/>
        <v>2.5154842270127345E-7</v>
      </c>
    </row>
    <row r="77" spans="1:8">
      <c r="A77" s="1">
        <v>67</v>
      </c>
      <c r="B77" s="1">
        <v>1.2461</v>
      </c>
      <c r="C77" s="2">
        <v>1.6355000000000001E-7</v>
      </c>
      <c r="D77" s="1">
        <f t="shared" si="4"/>
        <v>5.3940599999999993E-7</v>
      </c>
      <c r="F77" s="1">
        <f t="shared" si="7"/>
        <v>6.5999999999999925</v>
      </c>
      <c r="G77" s="2">
        <f t="shared" si="5"/>
        <v>2.5391480909291687E-7</v>
      </c>
      <c r="H77" s="1">
        <f t="shared" si="6"/>
        <v>2.3390204895181838E-7</v>
      </c>
    </row>
    <row r="78" spans="1:8">
      <c r="A78" s="1">
        <v>68</v>
      </c>
      <c r="B78" s="1">
        <v>1.8127</v>
      </c>
      <c r="C78" s="2">
        <v>1.7546000000000001E-7</v>
      </c>
      <c r="D78" s="1">
        <f t="shared" si="4"/>
        <v>5.3940599999999993E-7</v>
      </c>
      <c r="F78" s="1">
        <f t="shared" si="7"/>
        <v>6.6999999999999922</v>
      </c>
      <c r="G78" s="2">
        <f t="shared" si="5"/>
        <v>2.3477217485942451E-7</v>
      </c>
      <c r="H78" s="1">
        <f t="shared" si="6"/>
        <v>2.1824329414095839E-7</v>
      </c>
    </row>
    <row r="79" spans="1:8">
      <c r="A79" s="1">
        <v>69</v>
      </c>
      <c r="B79" s="1">
        <v>2.3273000000000001</v>
      </c>
      <c r="C79" s="2">
        <v>1.9291E-7</v>
      </c>
      <c r="D79" s="1">
        <f t="shared" si="4"/>
        <v>5.3940599999999993E-7</v>
      </c>
      <c r="F79" s="1">
        <f t="shared" si="7"/>
        <v>6.7999999999999918</v>
      </c>
      <c r="G79" s="2">
        <f t="shared" si="5"/>
        <v>2.1808361591440546E-7</v>
      </c>
      <c r="H79" s="1">
        <f t="shared" si="6"/>
        <v>2.0427803810620658E-7</v>
      </c>
    </row>
    <row r="80" spans="1:8">
      <c r="A80" s="1">
        <v>70</v>
      </c>
      <c r="B80" s="1">
        <v>2.3793000000000002</v>
      </c>
      <c r="C80" s="2">
        <v>1.9502999999999999E-7</v>
      </c>
      <c r="D80" s="1">
        <f t="shared" si="4"/>
        <v>5.3940599999999993E-7</v>
      </c>
      <c r="F80" s="1">
        <f t="shared" si="7"/>
        <v>6.8999999999999915</v>
      </c>
      <c r="G80" s="2">
        <f t="shared" si="5"/>
        <v>2.034101838755315E-7</v>
      </c>
      <c r="H80" s="1">
        <f t="shared" si="6"/>
        <v>1.9176308329237188E-7</v>
      </c>
    </row>
    <row r="81" spans="1:8">
      <c r="A81" s="1">
        <v>71</v>
      </c>
      <c r="B81" s="1">
        <v>2.4268000000000001</v>
      </c>
      <c r="C81" s="2">
        <v>1.9696000000000001E-7</v>
      </c>
      <c r="D81" s="1">
        <f t="shared" si="4"/>
        <v>5.3940599999999993E-7</v>
      </c>
      <c r="F81" s="1">
        <f t="shared" si="7"/>
        <v>6.9999999999999911</v>
      </c>
      <c r="G81" s="2">
        <f t="shared" si="5"/>
        <v>1.9041159271042231E-7</v>
      </c>
      <c r="H81" s="1">
        <f t="shared" si="6"/>
        <v>1.8049672885785096E-7</v>
      </c>
    </row>
    <row r="82" spans="1:8">
      <c r="A82" s="1">
        <v>72</v>
      </c>
      <c r="B82" s="1">
        <v>2.4708999999999999</v>
      </c>
      <c r="C82" s="2">
        <v>1.9868999999999999E-7</v>
      </c>
      <c r="D82" s="1">
        <f t="shared" si="4"/>
        <v>5.3940599999999993E-7</v>
      </c>
      <c r="F82" s="1">
        <f t="shared" si="7"/>
        <v>7.0999999999999908</v>
      </c>
      <c r="G82" s="2">
        <f t="shared" si="5"/>
        <v>1.7881997789444695E-7</v>
      </c>
      <c r="H82" s="1">
        <f t="shared" si="6"/>
        <v>1.7031099638854448E-7</v>
      </c>
    </row>
    <row r="83" spans="1:8">
      <c r="A83" s="1">
        <v>73</v>
      </c>
      <c r="B83" s="1">
        <v>2.5123000000000002</v>
      </c>
      <c r="C83" s="2">
        <v>2.0022999999999999E-7</v>
      </c>
      <c r="D83" s="1">
        <f t="shared" si="4"/>
        <v>5.3940599999999993E-7</v>
      </c>
      <c r="F83" s="1">
        <f t="shared" si="7"/>
        <v>7.1999999999999904</v>
      </c>
      <c r="G83" s="2">
        <f t="shared" si="5"/>
        <v>1.6842160737812999E-7</v>
      </c>
      <c r="H83" s="1">
        <f t="shared" si="6"/>
        <v>1.6106532598448369E-7</v>
      </c>
    </row>
    <row r="84" spans="1:8">
      <c r="A84" s="1">
        <v>74</v>
      </c>
      <c r="B84" s="1">
        <v>2.5512999999999999</v>
      </c>
      <c r="C84" s="2">
        <v>2.0158999999999999E-7</v>
      </c>
      <c r="D84" s="1">
        <f t="shared" si="4"/>
        <v>5.3940599999999993E-7</v>
      </c>
      <c r="F84" s="1">
        <f t="shared" si="7"/>
        <v>7.2999999999999901</v>
      </c>
      <c r="G84" s="2">
        <f t="shared" si="5"/>
        <v>1.590438682723036E-7</v>
      </c>
      <c r="H84" s="1">
        <f t="shared" si="6"/>
        <v>1.5264150591610764E-7</v>
      </c>
    </row>
    <row r="85" spans="1:8">
      <c r="A85" s="1">
        <v>75</v>
      </c>
      <c r="B85" s="1">
        <v>2.5884</v>
      </c>
      <c r="C85" s="2">
        <v>2.0282000000000001E-7</v>
      </c>
      <c r="D85" s="1">
        <f t="shared" si="4"/>
        <v>5.3940599999999993E-7</v>
      </c>
      <c r="F85" s="1">
        <f t="shared" si="7"/>
        <v>7.3999999999999897</v>
      </c>
      <c r="G85" s="2">
        <f t="shared" si="5"/>
        <v>1.5054583521132981E-7</v>
      </c>
      <c r="H85" s="1">
        <f t="shared" si="6"/>
        <v>1.4493960655019861E-7</v>
      </c>
    </row>
    <row r="86" spans="1:8">
      <c r="A86" s="1">
        <v>76</v>
      </c>
      <c r="B86" s="1">
        <v>2.6236999999999999</v>
      </c>
      <c r="C86" s="2">
        <v>2.0398E-7</v>
      </c>
      <c r="D86" s="1">
        <f t="shared" si="4"/>
        <v>5.3940599999999993E-7</v>
      </c>
      <c r="F86" s="1">
        <f t="shared" si="7"/>
        <v>7.4999999999999893</v>
      </c>
      <c r="G86" s="2">
        <f t="shared" si="5"/>
        <v>1.4281132075471773E-7</v>
      </c>
      <c r="H86" s="1">
        <f t="shared" si="6"/>
        <v>1.3787471919573859E-7</v>
      </c>
    </row>
    <row r="87" spans="1:8">
      <c r="A87" s="1">
        <v>77</v>
      </c>
      <c r="B87" s="1">
        <v>2.6259999999999999</v>
      </c>
      <c r="C87" s="2">
        <v>2.0405999999999999E-7</v>
      </c>
      <c r="D87" s="1">
        <f t="shared" si="4"/>
        <v>5.3940599999999993E-7</v>
      </c>
      <c r="F87" s="1">
        <f t="shared" si="7"/>
        <v>7.599999999999989</v>
      </c>
      <c r="G87" s="2">
        <f t="shared" si="5"/>
        <v>1.3574367781434022E-7</v>
      </c>
      <c r="H87" s="1">
        <f t="shared" si="6"/>
        <v>1.3137433516035831E-7</v>
      </c>
    </row>
    <row r="88" spans="1:8">
      <c r="A88" s="1">
        <v>78</v>
      </c>
      <c r="B88" s="1">
        <v>2.6282999999999999</v>
      </c>
      <c r="C88" s="2">
        <v>2.0414E-7</v>
      </c>
      <c r="D88" s="1">
        <f t="shared" si="4"/>
        <v>5.3940599999999993E-7</v>
      </c>
      <c r="F88" s="1">
        <f t="shared" si="7"/>
        <v>7.6999999999999886</v>
      </c>
      <c r="G88" s="2">
        <f t="shared" si="5"/>
        <v>1.2926185958254342E-7</v>
      </c>
      <c r="H88" s="1">
        <f t="shared" si="6"/>
        <v>1.2537623249732369E-7</v>
      </c>
    </row>
    <row r="89" spans="1:8">
      <c r="A89" s="1">
        <v>79</v>
      </c>
      <c r="B89" s="1">
        <v>2.6307999999999998</v>
      </c>
      <c r="C89" s="2">
        <v>2.0422000000000001E-7</v>
      </c>
      <c r="D89" s="1">
        <f t="shared" si="4"/>
        <v>5.3940599999999993E-7</v>
      </c>
      <c r="F89" s="1">
        <f t="shared" si="7"/>
        <v>7.7999999999999883</v>
      </c>
      <c r="G89" s="2">
        <f t="shared" si="5"/>
        <v>1.2329739577751648E-7</v>
      </c>
      <c r="H89" s="1">
        <f t="shared" si="6"/>
        <v>1.1982676531880454E-7</v>
      </c>
    </row>
    <row r="90" spans="1:8">
      <c r="A90" s="1">
        <v>80</v>
      </c>
      <c r="B90" s="1">
        <v>2.6334</v>
      </c>
      <c r="C90" s="2">
        <v>2.0431000000000001E-7</v>
      </c>
      <c r="D90" s="1">
        <f t="shared" si="4"/>
        <v>5.3940599999999993E-7</v>
      </c>
      <c r="F90" s="1">
        <f t="shared" si="7"/>
        <v>7.8999999999999879</v>
      </c>
      <c r="G90" s="2">
        <f t="shared" si="5"/>
        <v>1.1779204586822053E-7</v>
      </c>
      <c r="H90" s="1">
        <f t="shared" si="6"/>
        <v>1.1467947287446344E-7</v>
      </c>
    </row>
    <row r="91" spans="1:8">
      <c r="A91" s="1">
        <v>81</v>
      </c>
      <c r="B91" s="1">
        <v>2.6362000000000001</v>
      </c>
      <c r="C91" s="2">
        <v>2.044E-7</v>
      </c>
      <c r="D91" s="1">
        <f t="shared" si="4"/>
        <v>5.3940599999999993E-7</v>
      </c>
      <c r="F91" s="1">
        <f t="shared" si="7"/>
        <v>7.9999999999999876</v>
      </c>
      <c r="G91" s="2">
        <f t="shared" si="5"/>
        <v>1.1269595881539912E-7</v>
      </c>
      <c r="H91" s="1">
        <f t="shared" si="6"/>
        <v>1.0989394336426888E-7</v>
      </c>
    </row>
    <row r="92" spans="1:8">
      <c r="A92" s="1">
        <v>82</v>
      </c>
      <c r="B92" s="1">
        <v>2.6392000000000002</v>
      </c>
      <c r="C92" s="2">
        <v>2.0450000000000001E-7</v>
      </c>
      <c r="D92" s="1">
        <f t="shared" si="4"/>
        <v>5.3940599999999993E-7</v>
      </c>
      <c r="F92" s="1">
        <f t="shared" si="7"/>
        <v>8.0999999999999872</v>
      </c>
      <c r="G92" s="2">
        <f t="shared" si="5"/>
        <v>1.0796621621621682E-7</v>
      </c>
      <c r="H92" s="1">
        <f t="shared" si="6"/>
        <v>1.0543488142114375E-7</v>
      </c>
    </row>
    <row r="93" spans="1:8">
      <c r="A93" s="1">
        <v>83</v>
      </c>
      <c r="B93" s="1">
        <v>2.6749999999999998</v>
      </c>
      <c r="C93" s="2">
        <v>2.0578000000000001E-7</v>
      </c>
      <c r="D93" s="1">
        <f t="shared" si="4"/>
        <v>5.3940599999999993E-7</v>
      </c>
      <c r="F93" s="1">
        <f t="shared" si="7"/>
        <v>8.1999999999999869</v>
      </c>
      <c r="G93" s="2">
        <f t="shared" si="5"/>
        <v>1.0356566879044657E-7</v>
      </c>
      <c r="H93" s="1">
        <f t="shared" si="6"/>
        <v>1.0127133910535706E-7</v>
      </c>
    </row>
    <row r="94" spans="1:8">
      <c r="A94" s="1">
        <v>84</v>
      </c>
      <c r="B94" s="1">
        <v>2.7075999999999998</v>
      </c>
      <c r="C94" s="2">
        <v>2.0704999999999999E-7</v>
      </c>
      <c r="D94" s="1">
        <f t="shared" si="4"/>
        <v>5.3940599999999993E-7</v>
      </c>
      <c r="F94" s="1">
        <f t="shared" si="7"/>
        <v>8.2999999999999865</v>
      </c>
      <c r="G94" s="2">
        <f t="shared" si="5"/>
        <v>9.9461999538923168E-8</v>
      </c>
      <c r="H94" s="1">
        <f t="shared" si="6"/>
        <v>9.7376078746145635E-8</v>
      </c>
    </row>
    <row r="95" spans="1:8">
      <c r="A95" s="1">
        <v>85</v>
      </c>
      <c r="B95" s="1">
        <v>2.7109000000000001</v>
      </c>
      <c r="C95" s="2">
        <v>2.0718000000000001E-7</v>
      </c>
      <c r="D95" s="1">
        <f t="shared" si="4"/>
        <v>5.3940599999999993E-7</v>
      </c>
      <c r="F95" s="1">
        <f t="shared" si="7"/>
        <v>8.3999999999999861</v>
      </c>
      <c r="G95" s="2">
        <f t="shared" si="5"/>
        <v>9.5626963677167846E-8</v>
      </c>
      <c r="H95" s="1">
        <f t="shared" si="6"/>
        <v>9.372504257900264E-8</v>
      </c>
    </row>
    <row r="96" spans="1:8">
      <c r="A96" s="1">
        <v>86</v>
      </c>
      <c r="B96" s="1">
        <v>2.7139000000000002</v>
      </c>
      <c r="C96" s="2">
        <v>2.0730999999999999E-7</v>
      </c>
      <c r="D96" s="1">
        <f t="shared" si="4"/>
        <v>5.3940599999999993E-7</v>
      </c>
      <c r="F96" s="1">
        <f t="shared" si="7"/>
        <v>8.4999999999999858</v>
      </c>
      <c r="G96" s="2">
        <f t="shared" si="5"/>
        <v>9.2035767617151891E-8</v>
      </c>
      <c r="H96" s="1">
        <f t="shared" si="6"/>
        <v>9.0296909282772068E-8</v>
      </c>
    </row>
    <row r="97" spans="1:8">
      <c r="A97" s="1">
        <v>87</v>
      </c>
      <c r="B97" s="1">
        <v>2.7166999999999999</v>
      </c>
      <c r="C97" s="2">
        <v>2.0743E-7</v>
      </c>
      <c r="D97" s="1">
        <f t="shared" si="4"/>
        <v>5.3940599999999993E-7</v>
      </c>
      <c r="F97" s="1">
        <f t="shared" si="7"/>
        <v>8.5999999999999854</v>
      </c>
      <c r="G97" s="2">
        <f t="shared" si="5"/>
        <v>8.8666558199676775E-8</v>
      </c>
      <c r="H97" s="1">
        <f t="shared" si="6"/>
        <v>8.7072721550001067E-8</v>
      </c>
    </row>
    <row r="98" spans="1:8">
      <c r="A98" s="1">
        <v>88</v>
      </c>
      <c r="B98" s="1">
        <v>2.7193000000000001</v>
      </c>
      <c r="C98" s="2">
        <v>2.0753999999999999E-7</v>
      </c>
      <c r="D98" s="1">
        <f t="shared" si="4"/>
        <v>5.3940599999999993E-7</v>
      </c>
      <c r="F98" s="1">
        <f t="shared" si="7"/>
        <v>8.6999999999999851</v>
      </c>
      <c r="G98" s="2">
        <f t="shared" si="5"/>
        <v>8.5500000000000455E-8</v>
      </c>
      <c r="H98" s="1">
        <f t="shared" si="6"/>
        <v>8.4035571982884953E-8</v>
      </c>
    </row>
    <row r="99" spans="1:8">
      <c r="A99" s="1">
        <v>89</v>
      </c>
      <c r="B99" s="1">
        <v>2.7218</v>
      </c>
      <c r="C99" s="2">
        <v>2.0764E-7</v>
      </c>
      <c r="D99" s="1">
        <f t="shared" si="4"/>
        <v>5.3940599999999993E-7</v>
      </c>
      <c r="F99" s="1">
        <f t="shared" si="7"/>
        <v>8.7999999999999847</v>
      </c>
      <c r="G99" s="2">
        <f t="shared" si="5"/>
        <v>8.2518923485205127E-8</v>
      </c>
      <c r="H99" s="1">
        <f t="shared" si="6"/>
        <v>8.1170337092554453E-8</v>
      </c>
    </row>
    <row r="100" spans="1:8">
      <c r="A100" s="1">
        <v>90</v>
      </c>
      <c r="B100" s="1">
        <v>2.7241</v>
      </c>
      <c r="C100" s="2">
        <v>2.0774999999999999E-7</v>
      </c>
      <c r="D100" s="1">
        <f t="shared" si="4"/>
        <v>5.3940599999999993E-7</v>
      </c>
      <c r="F100" s="1">
        <f t="shared" si="7"/>
        <v>8.8999999999999844</v>
      </c>
      <c r="G100" s="2">
        <f t="shared" si="5"/>
        <v>7.9708030545634131E-8</v>
      </c>
      <c r="H100" s="1">
        <f t="shared" si="6"/>
        <v>7.846345114262133E-8</v>
      </c>
    </row>
    <row r="101" spans="1:8">
      <c r="A101" s="1">
        <v>91</v>
      </c>
      <c r="B101" s="1">
        <v>2.7263000000000002</v>
      </c>
      <c r="C101" s="2">
        <v>2.0783999999999999E-7</v>
      </c>
      <c r="D101" s="1">
        <f t="shared" si="4"/>
        <v>5.3940599999999993E-7</v>
      </c>
      <c r="F101" s="1">
        <f t="shared" si="7"/>
        <v>8.999999999999984</v>
      </c>
      <c r="G101" s="2">
        <f t="shared" si="5"/>
        <v>7.7053646775166168E-8</v>
      </c>
      <c r="H101" s="1">
        <f t="shared" si="6"/>
        <v>7.5902713134894092E-8</v>
      </c>
    </row>
    <row r="102" spans="1:8">
      <c r="A102" s="1">
        <v>92</v>
      </c>
      <c r="B102" s="1">
        <v>2.7808000000000002</v>
      </c>
      <c r="C102" s="2">
        <v>2.1040999999999999E-7</v>
      </c>
      <c r="D102" s="1">
        <f t="shared" si="4"/>
        <v>5.3940599999999993E-7</v>
      </c>
      <c r="F102" s="1">
        <f t="shared" si="7"/>
        <v>9.0999999999999837</v>
      </c>
      <c r="G102" s="2">
        <f t="shared" si="5"/>
        <v>7.4543512065887621E-8</v>
      </c>
      <c r="H102" s="1">
        <f t="shared" si="6"/>
        <v>7.3477121475206731E-8</v>
      </c>
    </row>
    <row r="103" spans="1:8">
      <c r="A103" s="1">
        <v>93</v>
      </c>
      <c r="B103" s="1">
        <v>2.8378000000000001</v>
      </c>
      <c r="C103" s="2">
        <v>2.1351000000000001E-7</v>
      </c>
      <c r="D103" s="1">
        <f t="shared" si="4"/>
        <v>5.3940599999999993E-7</v>
      </c>
      <c r="F103" s="1">
        <f t="shared" si="7"/>
        <v>9.1999999999999833</v>
      </c>
      <c r="G103" s="2">
        <f t="shared" si="5"/>
        <v>7.2166602778107281E-8</v>
      </c>
      <c r="H103" s="1">
        <f t="shared" si="6"/>
        <v>7.1176731849067355E-8</v>
      </c>
    </row>
    <row r="104" spans="1:8">
      <c r="A104" s="1">
        <v>94</v>
      </c>
      <c r="B104" s="1">
        <v>2.8978000000000002</v>
      </c>
      <c r="C104" s="2">
        <v>2.1713000000000001E-7</v>
      </c>
      <c r="D104" s="1">
        <f t="shared" si="4"/>
        <v>5.3940599999999993E-7</v>
      </c>
      <c r="F104" s="1">
        <f t="shared" si="7"/>
        <v>9.2999999999999829</v>
      </c>
      <c r="G104" s="2">
        <f t="shared" si="5"/>
        <v>6.9912980068060638E-8</v>
      </c>
      <c r="H104" s="1">
        <f t="shared" si="6"/>
        <v>6.8992534633383105E-8</v>
      </c>
    </row>
    <row r="105" spans="1:8">
      <c r="A105" s="1">
        <v>95</v>
      </c>
      <c r="B105" s="1">
        <v>2.9613999999999998</v>
      </c>
      <c r="C105" s="2">
        <v>2.2130999999999999E-7</v>
      </c>
      <c r="D105" s="1">
        <f t="shared" si="4"/>
        <v>5.3940599999999993E-7</v>
      </c>
      <c r="F105" s="1">
        <f t="shared" si="7"/>
        <v>9.3999999999999826</v>
      </c>
      <c r="G105" s="2">
        <f t="shared" si="5"/>
        <v>6.7773659992538599E-8</v>
      </c>
      <c r="H105" s="1">
        <f t="shared" si="6"/>
        <v>6.6916348812951856E-8</v>
      </c>
    </row>
    <row r="106" spans="1:8">
      <c r="A106" s="1">
        <v>96</v>
      </c>
      <c r="B106" s="1">
        <v>3.0293000000000001</v>
      </c>
      <c r="C106" s="2">
        <v>2.2611E-7</v>
      </c>
      <c r="D106" s="1">
        <f t="shared" si="4"/>
        <v>5.3940599999999993E-7</v>
      </c>
      <c r="F106" s="1">
        <f t="shared" si="7"/>
        <v>9.4999999999999822</v>
      </c>
      <c r="G106" s="2">
        <f t="shared" si="5"/>
        <v>6.5740501828525339E-8</v>
      </c>
      <c r="H106" s="1">
        <f t="shared" si="6"/>
        <v>6.4940729890685183E-8</v>
      </c>
    </row>
    <row r="107" spans="1:8">
      <c r="A107" s="1">
        <v>97</v>
      </c>
      <c r="B107" s="1">
        <v>3.1023999999999998</v>
      </c>
      <c r="C107" s="2">
        <v>2.3166E-7</v>
      </c>
      <c r="D107" s="1">
        <f t="shared" si="4"/>
        <v>5.3940599999999993E-7</v>
      </c>
      <c r="F107" s="1">
        <f t="shared" si="7"/>
        <v>9.5999999999999819</v>
      </c>
      <c r="G107" s="2">
        <f t="shared" si="5"/>
        <v>6.3806111696522989E-8</v>
      </c>
      <c r="H107" s="1">
        <f t="shared" si="6"/>
        <v>6.3058889703572714E-8</v>
      </c>
    </row>
    <row r="108" spans="1:8">
      <c r="A108" s="1">
        <v>98</v>
      </c>
      <c r="B108" s="1">
        <v>3.9739</v>
      </c>
      <c r="C108" s="2">
        <v>3.4213000000000001E-7</v>
      </c>
      <c r="D108" s="1">
        <f t="shared" si="4"/>
        <v>5.3940599999999993E-7</v>
      </c>
      <c r="F108" s="1">
        <f t="shared" si="7"/>
        <v>9.6999999999999815</v>
      </c>
      <c r="G108" s="2">
        <f t="shared" si="5"/>
        <v>6.196375909613207E-8</v>
      </c>
      <c r="H108" s="1">
        <f t="shared" si="6"/>
        <v>6.1264626401749771E-8</v>
      </c>
    </row>
    <row r="109" spans="1:8">
      <c r="A109" s="1">
        <v>99</v>
      </c>
      <c r="B109" s="1">
        <v>4.7655000000000003</v>
      </c>
      <c r="C109" s="2">
        <v>6.1959E-7</v>
      </c>
      <c r="D109" s="1">
        <f t="shared" si="4"/>
        <v>5.3940599999999993E-7</v>
      </c>
      <c r="F109" s="1">
        <f t="shared" si="7"/>
        <v>9.7999999999999812</v>
      </c>
      <c r="G109" s="2">
        <f t="shared" si="5"/>
        <v>6.0207304380186274E-8</v>
      </c>
      <c r="H109" s="1">
        <f t="shared" si="6"/>
        <v>5.9552263131044848E-8</v>
      </c>
    </row>
    <row r="110" spans="1:8">
      <c r="A110" s="1">
        <v>100</v>
      </c>
      <c r="B110" s="1">
        <v>4.8452999999999999</v>
      </c>
      <c r="C110" s="2">
        <v>6.6138999999999997E-7</v>
      </c>
      <c r="D110" s="1">
        <f t="shared" si="4"/>
        <v>5.3940599999999993E-7</v>
      </c>
      <c r="F110" s="1">
        <f t="shared" si="7"/>
        <v>9.8999999999999808</v>
      </c>
      <c r="G110" s="2">
        <f t="shared" si="5"/>
        <v>5.8531135531135838E-8</v>
      </c>
      <c r="H110" s="1">
        <f t="shared" si="6"/>
        <v>5.7916594192187393E-8</v>
      </c>
    </row>
    <row r="111" spans="1:8">
      <c r="A111" s="1">
        <v>101</v>
      </c>
      <c r="B111" s="1">
        <v>4.9184999999999999</v>
      </c>
      <c r="C111" s="2">
        <v>6.9841999999999998E-7</v>
      </c>
      <c r="D111" s="1">
        <f t="shared" si="4"/>
        <v>5.3940599999999993E-7</v>
      </c>
      <c r="F111" s="1">
        <f t="shared" si="7"/>
        <v>9.9999999999999805</v>
      </c>
      <c r="G111" s="2">
        <f t="shared" si="5"/>
        <v>5.6930112877242857E-8</v>
      </c>
      <c r="H111" s="1">
        <f t="shared" si="6"/>
        <v>5.6352837642061687E-8</v>
      </c>
    </row>
    <row r="112" spans="1:8">
      <c r="A112" s="1">
        <v>102</v>
      </c>
      <c r="B112" s="1">
        <v>4.9863</v>
      </c>
      <c r="C112" s="2">
        <v>7.2906999999999995E-7</v>
      </c>
      <c r="D112" s="1">
        <f t="shared" si="4"/>
        <v>5.3940599999999993E-7</v>
      </c>
      <c r="F112" s="1">
        <f t="shared" si="7"/>
        <v>10.09999999999998</v>
      </c>
      <c r="G112" s="2">
        <f t="shared" si="5"/>
        <v>5.5399520609511057E-8</v>
      </c>
      <c r="H112" s="1">
        <f t="shared" si="6"/>
        <v>5.48565934616421E-8</v>
      </c>
    </row>
    <row r="113" spans="1:8">
      <c r="A113" s="1">
        <v>103</v>
      </c>
      <c r="B113" s="1">
        <v>5.0499000000000001</v>
      </c>
      <c r="C113" s="2">
        <v>7.5186000000000001E-7</v>
      </c>
      <c r="D113" s="1">
        <f t="shared" si="4"/>
        <v>5.3940599999999993E-7</v>
      </c>
      <c r="F113" s="1">
        <f t="shared" si="7"/>
        <v>10.19999999999998</v>
      </c>
      <c r="G113" s="2">
        <f t="shared" si="5"/>
        <v>5.3935024143265956E-8</v>
      </c>
      <c r="H113" s="1">
        <f t="shared" si="6"/>
        <v>5.3423806547648974E-8</v>
      </c>
    </row>
    <row r="114" spans="1:8">
      <c r="A114" s="1">
        <v>104</v>
      </c>
      <c r="B114" s="1">
        <v>5.1100000000000003</v>
      </c>
      <c r="C114" s="2">
        <v>7.6578999999999998E-7</v>
      </c>
      <c r="D114" s="1">
        <f t="shared" si="4"/>
        <v>5.3940599999999993E-7</v>
      </c>
      <c r="F114" s="1">
        <f t="shared" si="7"/>
        <v>10.299999999999979</v>
      </c>
      <c r="G114" s="2">
        <f t="shared" si="5"/>
        <v>5.2532632518873563E-8</v>
      </c>
      <c r="H114" s="1">
        <f t="shared" si="6"/>
        <v>5.2050733895417896E-8</v>
      </c>
    </row>
    <row r="115" spans="1:8">
      <c r="A115" s="1">
        <v>105</v>
      </c>
      <c r="B115" s="1">
        <v>5.1669999999999998</v>
      </c>
      <c r="C115" s="2">
        <v>7.7057999999999996E-7</v>
      </c>
      <c r="D115" s="1">
        <f t="shared" si="4"/>
        <v>5.3940599999999993E-7</v>
      </c>
      <c r="F115" s="1">
        <f t="shared" si="7"/>
        <v>10.399999999999979</v>
      </c>
      <c r="G115" s="2">
        <f t="shared" si="5"/>
        <v>5.118866516049641E-8</v>
      </c>
      <c r="H115" s="1">
        <f t="shared" si="6"/>
        <v>5.0733915432916745E-8</v>
      </c>
    </row>
    <row r="116" spans="1:8">
      <c r="A116" s="1">
        <v>106</v>
      </c>
      <c r="B116" s="1">
        <v>5.2214</v>
      </c>
      <c r="C116" s="2">
        <v>7.6675000000000001E-7</v>
      </c>
      <c r="D116" s="1">
        <f t="shared" si="4"/>
        <v>5.3940599999999993E-7</v>
      </c>
      <c r="F116" s="1">
        <f t="shared" si="7"/>
        <v>10.499999999999979</v>
      </c>
      <c r="G116" s="2">
        <f t="shared" si="5"/>
        <v>4.989972241498985E-8</v>
      </c>
      <c r="H116" s="1">
        <f t="shared" si="6"/>
        <v>4.9470148043459229E-8</v>
      </c>
    </row>
    <row r="117" spans="1:8">
      <c r="A117" s="1">
        <v>107</v>
      </c>
      <c r="B117" s="1">
        <v>5.2239000000000004</v>
      </c>
      <c r="C117" s="2">
        <v>7.6637999999999996E-7</v>
      </c>
      <c r="D117" s="1">
        <f t="shared" si="4"/>
        <v>5.3940599999999993E-7</v>
      </c>
      <c r="F117" s="1">
        <f t="shared" si="7"/>
        <v>10.599999999999978</v>
      </c>
      <c r="G117" s="2">
        <f t="shared" si="5"/>
        <v>4.8662659378980332E-8</v>
      </c>
      <c r="H117" s="1">
        <f t="shared" si="6"/>
        <v>4.8256462380027242E-8</v>
      </c>
    </row>
    <row r="118" spans="1:8">
      <c r="A118" s="1">
        <v>108</v>
      </c>
      <c r="B118" s="1">
        <v>5.2266000000000004</v>
      </c>
      <c r="C118" s="2">
        <v>7.6596000000000001E-7</v>
      </c>
      <c r="D118" s="1">
        <f t="shared" si="4"/>
        <v>5.3940599999999993E-7</v>
      </c>
      <c r="F118" s="1">
        <f t="shared" si="7"/>
        <v>10.699999999999978</v>
      </c>
      <c r="G118" s="2">
        <f t="shared" si="5"/>
        <v>4.7474562593992111E-8</v>
      </c>
      <c r="H118" s="1">
        <f t="shared" si="6"/>
        <v>4.7090102129326082E-8</v>
      </c>
    </row>
    <row r="119" spans="1:8">
      <c r="A119" s="1">
        <v>109</v>
      </c>
      <c r="B119" s="1">
        <v>5.2294</v>
      </c>
      <c r="C119" s="2">
        <v>7.6550000000000002E-7</v>
      </c>
      <c r="D119" s="1">
        <f t="shared" si="4"/>
        <v>5.3940599999999993E-7</v>
      </c>
      <c r="F119" s="1">
        <f t="shared" si="7"/>
        <v>10.799999999999978</v>
      </c>
      <c r="G119" s="2">
        <f t="shared" si="5"/>
        <v>4.6332729249728419E-8</v>
      </c>
      <c r="H119" s="1">
        <f t="shared" si="6"/>
        <v>4.5968505430467931E-8</v>
      </c>
    </row>
    <row r="120" spans="1:8">
      <c r="A120" s="1">
        <v>110</v>
      </c>
      <c r="B120" s="1">
        <v>5.2323000000000004</v>
      </c>
      <c r="C120" s="2">
        <v>7.6499000000000002E-7</v>
      </c>
      <c r="D120" s="1">
        <f t="shared" si="4"/>
        <v>5.3940599999999993E-7</v>
      </c>
      <c r="F120" s="1">
        <f t="shared" si="7"/>
        <v>10.899999999999977</v>
      </c>
      <c r="G120" s="2">
        <f t="shared" si="5"/>
        <v>4.5234648586307161E-8</v>
      </c>
      <c r="H120" s="1">
        <f t="shared" si="6"/>
        <v>4.4889288192910587E-8</v>
      </c>
    </row>
    <row r="121" spans="1:8">
      <c r="A121" s="1">
        <v>111</v>
      </c>
      <c r="B121" s="1">
        <v>5.2355</v>
      </c>
      <c r="C121" s="2">
        <v>7.6441999999999996E-7</v>
      </c>
      <c r="D121" s="1">
        <f t="shared" si="4"/>
        <v>5.3940599999999993E-7</v>
      </c>
      <c r="F121" s="1">
        <f t="shared" si="7"/>
        <v>10.999999999999977</v>
      </c>
      <c r="G121" s="2">
        <f t="shared" si="5"/>
        <v>4.4177985229052332E-8</v>
      </c>
      <c r="H121" s="1">
        <f t="shared" si="6"/>
        <v>4.3850229092123908E-8</v>
      </c>
    </row>
    <row r="122" spans="1:8">
      <c r="A122" s="1">
        <v>112</v>
      </c>
      <c r="B122" s="1">
        <v>5.2389000000000001</v>
      </c>
      <c r="C122" s="2">
        <v>7.6377999999999997E-7</v>
      </c>
      <c r="D122" s="1">
        <f t="shared" si="4"/>
        <v>5.3940599999999993E-7</v>
      </c>
      <c r="F122" s="1">
        <f t="shared" si="7"/>
        <v>11.099999999999977</v>
      </c>
      <c r="G122" s="2">
        <f t="shared" si="5"/>
        <v>4.3160564225690498E-8</v>
      </c>
      <c r="H122" s="1">
        <f t="shared" si="6"/>
        <v>4.2849256050360368E-8</v>
      </c>
    </row>
    <row r="123" spans="1:8">
      <c r="A123" s="1">
        <v>113</v>
      </c>
      <c r="B123" s="1">
        <v>5.2793999999999999</v>
      </c>
      <c r="C123" s="2">
        <v>7.5379000000000003E-7</v>
      </c>
      <c r="D123" s="1">
        <f t="shared" si="4"/>
        <v>5.3940599999999993E-7</v>
      </c>
      <c r="F123" s="1">
        <f t="shared" si="7"/>
        <v>11.199999999999976</v>
      </c>
      <c r="G123" s="2">
        <f t="shared" si="5"/>
        <v>4.2180357586596232E-8</v>
      </c>
      <c r="H123" s="1">
        <f t="shared" si="6"/>
        <v>4.1884434034658152E-8</v>
      </c>
    </row>
    <row r="124" spans="1:8">
      <c r="A124" s="1">
        <v>114</v>
      </c>
      <c r="B124" s="1">
        <v>5.3160999999999996</v>
      </c>
      <c r="C124" s="2">
        <v>7.4125E-7</v>
      </c>
      <c r="D124" s="1">
        <f t="shared" si="4"/>
        <v>5.3940599999999993E-7</v>
      </c>
      <c r="F124" s="1">
        <f t="shared" si="7"/>
        <v>11.299999999999976</v>
      </c>
      <c r="G124" s="2">
        <f t="shared" si="5"/>
        <v>4.1235472154963893E-8</v>
      </c>
      <c r="H124" s="1">
        <f t="shared" si="6"/>
        <v>4.0953954025448962E-8</v>
      </c>
    </row>
    <row r="125" spans="1:8">
      <c r="A125" s="1">
        <v>115</v>
      </c>
      <c r="B125" s="1">
        <v>5.3198999999999996</v>
      </c>
      <c r="C125" s="2">
        <v>7.3980999999999995E-7</v>
      </c>
      <c r="D125" s="1">
        <f t="shared" si="4"/>
        <v>5.3940599999999993E-7</v>
      </c>
      <c r="F125" s="1">
        <f t="shared" si="7"/>
        <v>11.399999999999975</v>
      </c>
      <c r="G125" s="2">
        <f t="shared" si="5"/>
        <v>4.0324138656198742E-8</v>
      </c>
      <c r="H125" s="1">
        <f t="shared" si="6"/>
        <v>4.0056123027425035E-8</v>
      </c>
    </row>
    <row r="126" spans="1:8">
      <c r="A126" s="1">
        <v>116</v>
      </c>
      <c r="B126" s="1">
        <v>5.3232999999999997</v>
      </c>
      <c r="C126" s="2">
        <v>7.3847999999999998E-7</v>
      </c>
      <c r="D126" s="1">
        <f t="shared" si="4"/>
        <v>5.3940599999999993E-7</v>
      </c>
      <c r="F126" s="1">
        <f t="shared" si="7"/>
        <v>11.499999999999975</v>
      </c>
      <c r="G126" s="2">
        <f t="shared" si="5"/>
        <v>3.9444701795020473E-8</v>
      </c>
      <c r="H126" s="1">
        <f t="shared" si="6"/>
        <v>3.9189355010085474E-8</v>
      </c>
    </row>
    <row r="127" spans="1:8">
      <c r="A127" s="1">
        <v>117</v>
      </c>
      <c r="B127" s="1">
        <v>5.3263999999999996</v>
      </c>
      <c r="C127" s="2">
        <v>7.3722000000000003E-7</v>
      </c>
      <c r="D127" s="1">
        <f t="shared" si="4"/>
        <v>5.3940599999999993E-7</v>
      </c>
      <c r="F127" s="1">
        <f t="shared" si="7"/>
        <v>11.599999999999975</v>
      </c>
      <c r="G127" s="2">
        <f t="shared" si="5"/>
        <v>3.859561128526667E-8</v>
      </c>
      <c r="H127" s="1">
        <f t="shared" si="6"/>
        <v>3.8352162679012809E-8</v>
      </c>
    </row>
    <row r="128" spans="1:8">
      <c r="A128" s="1">
        <v>118</v>
      </c>
      <c r="B128" s="1">
        <v>5.3293999999999997</v>
      </c>
      <c r="C128" s="2">
        <v>7.3602000000000005E-7</v>
      </c>
      <c r="D128" s="1">
        <f t="shared" si="4"/>
        <v>5.3940599999999993E-7</v>
      </c>
      <c r="F128" s="1">
        <f t="shared" si="7"/>
        <v>11.699999999999974</v>
      </c>
      <c r="G128" s="2">
        <f t="shared" si="5"/>
        <v>3.7775413711584122E-8</v>
      </c>
      <c r="H128" s="1">
        <f t="shared" si="6"/>
        <v>3.7543149990737889E-8</v>
      </c>
    </row>
    <row r="129" spans="1:8">
      <c r="A129" s="1">
        <v>119</v>
      </c>
      <c r="B129" s="1">
        <v>5.3320999999999996</v>
      </c>
      <c r="C129" s="2">
        <v>7.3486999999999996E-7</v>
      </c>
      <c r="D129" s="1">
        <f t="shared" si="4"/>
        <v>5.3940599999999993E-7</v>
      </c>
      <c r="F129" s="1">
        <f t="shared" si="7"/>
        <v>11.799999999999974</v>
      </c>
      <c r="G129" s="2">
        <f t="shared" si="5"/>
        <v>3.6982745134456715E-8</v>
      </c>
      <c r="H129" s="1">
        <f t="shared" si="6"/>
        <v>3.6761005334304474E-8</v>
      </c>
    </row>
    <row r="130" spans="1:8">
      <c r="A130" s="1">
        <v>120</v>
      </c>
      <c r="B130" s="1">
        <v>5.3348000000000004</v>
      </c>
      <c r="C130" s="2">
        <v>7.3376000000000003E-7</v>
      </c>
      <c r="D130" s="1">
        <f t="shared" si="4"/>
        <v>5.3940599999999993E-7</v>
      </c>
      <c r="F130" s="1">
        <f t="shared" si="7"/>
        <v>11.899999999999974</v>
      </c>
      <c r="G130" s="2">
        <f t="shared" si="5"/>
        <v>3.6216324360624736E-8</v>
      </c>
      <c r="H130" s="1">
        <f t="shared" si="6"/>
        <v>3.600449531156383E-8</v>
      </c>
    </row>
    <row r="131" spans="1:8">
      <c r="A131" s="1">
        <v>121</v>
      </c>
      <c r="B131" s="1">
        <v>5.3372999999999999</v>
      </c>
      <c r="C131" s="2">
        <v>7.3269999999999999E-7</v>
      </c>
      <c r="D131" s="1">
        <f t="shared" si="4"/>
        <v>5.3940599999999993E-7</v>
      </c>
      <c r="F131" s="1">
        <f t="shared" si="7"/>
        <v>11.999999999999973</v>
      </c>
      <c r="G131" s="2">
        <f t="shared" si="5"/>
        <v>3.5474946810150976E-8</v>
      </c>
      <c r="H131" s="1">
        <f t="shared" si="6"/>
        <v>3.5272459056007133E-8</v>
      </c>
    </row>
    <row r="132" spans="1:8">
      <c r="A132" s="1">
        <v>122</v>
      </c>
      <c r="B132" s="1">
        <v>5.4127999999999998</v>
      </c>
      <c r="C132" s="2">
        <v>6.9597E-7</v>
      </c>
      <c r="D132" s="1">
        <f t="shared" si="4"/>
        <v>5.3940599999999993E-7</v>
      </c>
      <c r="F132" s="1">
        <f t="shared" si="7"/>
        <v>12.099999999999973</v>
      </c>
      <c r="G132" s="2">
        <f t="shared" si="5"/>
        <v>3.4757478919383608E-8</v>
      </c>
      <c r="H132" s="1">
        <f t="shared" si="6"/>
        <v>3.4563803036735923E-8</v>
      </c>
    </row>
    <row r="133" spans="1:8">
      <c r="A133" s="1">
        <v>123</v>
      </c>
      <c r="B133" s="1">
        <v>5.4919000000000002</v>
      </c>
      <c r="C133" s="2">
        <v>6.5072999999999995E-7</v>
      </c>
      <c r="D133" s="1">
        <f t="shared" si="4"/>
        <v>5.3940599999999993E-7</v>
      </c>
      <c r="F133" s="1">
        <f t="shared" si="7"/>
        <v>12.199999999999973</v>
      </c>
      <c r="G133" s="2">
        <f t="shared" si="5"/>
        <v>3.4062853026031587E-8</v>
      </c>
      <c r="H133" s="1">
        <f t="shared" si="6"/>
        <v>3.387749630011698E-8</v>
      </c>
    </row>
    <row r="134" spans="1:8">
      <c r="A134" s="1">
        <v>124</v>
      </c>
      <c r="B134" s="1">
        <v>5.5751999999999997</v>
      </c>
      <c r="C134" s="2">
        <v>6.0052000000000003E-7</v>
      </c>
      <c r="D134" s="1">
        <f t="shared" si="4"/>
        <v>5.3940599999999993E-7</v>
      </c>
      <c r="F134" s="1">
        <f t="shared" si="7"/>
        <v>12.299999999999972</v>
      </c>
      <c r="G134" s="2">
        <f t="shared" si="5"/>
        <v>3.3390062688646571E-8</v>
      </c>
      <c r="H134" s="1">
        <f t="shared" si="6"/>
        <v>3.3212566106880928E-8</v>
      </c>
    </row>
    <row r="135" spans="1:8">
      <c r="A135" s="1">
        <v>125</v>
      </c>
      <c r="B135" s="1">
        <v>5.6635</v>
      </c>
      <c r="C135" s="2">
        <v>5.4850000000000002E-7</v>
      </c>
      <c r="D135" s="1">
        <f t="shared" si="4"/>
        <v>5.3940599999999993E-7</v>
      </c>
      <c r="F135" s="1">
        <f t="shared" si="7"/>
        <v>12.399999999999972</v>
      </c>
      <c r="G135" s="2">
        <f t="shared" si="5"/>
        <v>3.2738158398123355E-8</v>
      </c>
      <c r="H135" s="1">
        <f t="shared" si="6"/>
        <v>3.2568093927004336E-8</v>
      </c>
    </row>
    <row r="136" spans="1:8">
      <c r="A136" s="1">
        <v>126</v>
      </c>
      <c r="B136" s="1">
        <v>5.7576000000000001</v>
      </c>
      <c r="C136" s="2">
        <v>4.9699999999999996E-7</v>
      </c>
      <c r="D136" s="1">
        <f t="shared" si="4"/>
        <v>5.3940599999999993E-7</v>
      </c>
      <c r="F136" s="1">
        <f t="shared" si="7"/>
        <v>12.499999999999972</v>
      </c>
      <c r="G136" s="2">
        <f t="shared" si="5"/>
        <v>3.2106243643489876E-8</v>
      </c>
      <c r="H136" s="1">
        <f t="shared" si="6"/>
        <v>3.194321175874505E-8</v>
      </c>
    </row>
    <row r="137" spans="1:8">
      <c r="A137" s="1">
        <v>127</v>
      </c>
      <c r="B137" s="1">
        <v>5.8590999999999998</v>
      </c>
      <c r="C137" s="2">
        <v>4.4747000000000002E-7</v>
      </c>
      <c r="D137" s="1">
        <f t="shared" si="4"/>
        <v>5.3940599999999993E-7</v>
      </c>
      <c r="F137" s="1">
        <f t="shared" si="7"/>
        <v>12.599999999999971</v>
      </c>
      <c r="G137" s="2">
        <f t="shared" si="5"/>
        <v>3.1493471298349519E-8</v>
      </c>
      <c r="H137" s="1">
        <f t="shared" si="6"/>
        <v>3.1337098741753723E-8</v>
      </c>
    </row>
    <row r="138" spans="1:8">
      <c r="A138" s="1">
        <v>128</v>
      </c>
      <c r="B138" s="1">
        <v>7.0682</v>
      </c>
      <c r="C138" s="2">
        <v>1.7531E-7</v>
      </c>
      <c r="D138" s="1">
        <f t="shared" si="4"/>
        <v>5.3940599999999993E-7</v>
      </c>
      <c r="F138" s="1">
        <f t="shared" si="7"/>
        <v>12.699999999999971</v>
      </c>
      <c r="G138" s="2">
        <f t="shared" si="5"/>
        <v>3.089904029793753E-8</v>
      </c>
      <c r="H138" s="1">
        <f t="shared" si="6"/>
        <v>3.0748978037322256E-8</v>
      </c>
    </row>
    <row r="139" spans="1:8">
      <c r="A139" s="1">
        <v>129</v>
      </c>
      <c r="B139" s="1">
        <v>8.1664999999999992</v>
      </c>
      <c r="C139" s="2">
        <v>1.0373E-7</v>
      </c>
      <c r="D139" s="1">
        <f t="shared" ref="D139:D202" si="8">0.7*0.00000077058</f>
        <v>5.3940599999999993E-7</v>
      </c>
      <c r="F139" s="1">
        <f t="shared" si="7"/>
        <v>12.799999999999971</v>
      </c>
      <c r="G139" s="2">
        <f t="shared" ref="G139:G202" si="9">$J$11/((1-(F139/$I$11)^2)^2+(2*0*(F139/$I$11))^2)^(1/2)</f>
        <v>3.0322192579924555E-8</v>
      </c>
      <c r="H139" s="1">
        <f t="shared" ref="H139:H202" si="10">$J$11/((1-(F139/$I$11)^2)^2+(2*0.1*(F139/$I$11))^2)^(1/2)</f>
        <v>3.0178113951604187E-8</v>
      </c>
    </row>
    <row r="140" spans="1:8">
      <c r="A140" s="1">
        <v>130</v>
      </c>
      <c r="B140" s="1">
        <v>8.2773000000000003</v>
      </c>
      <c r="C140" s="2">
        <v>9.9289999999999998E-8</v>
      </c>
      <c r="D140" s="1">
        <f t="shared" si="8"/>
        <v>5.3940599999999993E-7</v>
      </c>
      <c r="F140" s="1">
        <f t="shared" ref="F140:F203" si="11">0.1+F139</f>
        <v>12.89999999999997</v>
      </c>
      <c r="G140" s="2">
        <f t="shared" si="9"/>
        <v>2.9762210264900829E-8</v>
      </c>
      <c r="H140" s="1">
        <f t="shared" si="10"/>
        <v>2.9623809280101616E-8</v>
      </c>
    </row>
    <row r="141" spans="1:8">
      <c r="A141" s="1">
        <v>131</v>
      </c>
      <c r="B141" s="1">
        <v>8.3788</v>
      </c>
      <c r="C141" s="2">
        <v>9.5492999999999994E-8</v>
      </c>
      <c r="D141" s="1">
        <f t="shared" si="8"/>
        <v>5.3940599999999993E-7</v>
      </c>
      <c r="F141" s="1">
        <f t="shared" si="11"/>
        <v>12.99999999999997</v>
      </c>
      <c r="G141" s="2">
        <f t="shared" si="9"/>
        <v>2.9218413054949803E-8</v>
      </c>
      <c r="H141" s="1">
        <f t="shared" si="10"/>
        <v>2.9085402853893591E-8</v>
      </c>
    </row>
    <row r="142" spans="1:8">
      <c r="A142" s="1">
        <v>132</v>
      </c>
      <c r="B142" s="1">
        <v>8.4728999999999992</v>
      </c>
      <c r="C142" s="2">
        <v>9.2181999999999998E-8</v>
      </c>
      <c r="D142" s="1">
        <f t="shared" si="8"/>
        <v>5.3940599999999993E-7</v>
      </c>
      <c r="F142" s="1">
        <f t="shared" si="11"/>
        <v>13.099999999999969</v>
      </c>
      <c r="G142" s="2">
        <f t="shared" si="9"/>
        <v>2.8690155830913646E-8</v>
      </c>
      <c r="H142" s="1">
        <f t="shared" si="10"/>
        <v>2.8562267270020264E-8</v>
      </c>
    </row>
    <row r="143" spans="1:8">
      <c r="A143" s="1">
        <v>133</v>
      </c>
      <c r="B143" s="1">
        <v>8.5610999999999997</v>
      </c>
      <c r="C143" s="2">
        <v>8.9248999999999994E-8</v>
      </c>
      <c r="D143" s="1">
        <f t="shared" si="8"/>
        <v>5.3940599999999993E-7</v>
      </c>
      <c r="F143" s="1">
        <f t="shared" si="11"/>
        <v>13.199999999999969</v>
      </c>
      <c r="G143" s="2">
        <f t="shared" si="9"/>
        <v>2.8176826430898246E-8</v>
      </c>
      <c r="H143" s="1">
        <f t="shared" si="10"/>
        <v>2.8053806790161529E-8</v>
      </c>
    </row>
    <row r="144" spans="1:8">
      <c r="A144" s="1">
        <v>134</v>
      </c>
      <c r="B144" s="1">
        <v>8.6443999999999992</v>
      </c>
      <c r="C144" s="2">
        <v>8.6620000000000004E-8</v>
      </c>
      <c r="D144" s="1">
        <f t="shared" si="8"/>
        <v>5.3940599999999993E-7</v>
      </c>
      <c r="F144" s="1">
        <f t="shared" si="11"/>
        <v>13.299999999999969</v>
      </c>
      <c r="G144" s="2">
        <f t="shared" si="9"/>
        <v>2.7677843594294791E-8</v>
      </c>
      <c r="H144" s="1">
        <f t="shared" si="10"/>
        <v>2.7559455393287256E-8</v>
      </c>
    </row>
    <row r="145" spans="1:8">
      <c r="A145" s="1">
        <v>135</v>
      </c>
      <c r="B145" s="1">
        <v>8.7234999999999996</v>
      </c>
      <c r="C145" s="2">
        <v>8.4240000000000005E-8</v>
      </c>
      <c r="D145" s="1">
        <f t="shared" si="8"/>
        <v>5.3940599999999993E-7</v>
      </c>
      <c r="F145" s="1">
        <f t="shared" si="11"/>
        <v>13.399999999999968</v>
      </c>
      <c r="G145" s="2">
        <f t="shared" si="9"/>
        <v>2.7192655057133027E-8</v>
      </c>
      <c r="H145" s="1">
        <f t="shared" si="10"/>
        <v>2.7078674969327742E-8</v>
      </c>
    </row>
    <row r="146" spans="1:8">
      <c r="A146" s="1">
        <v>136</v>
      </c>
      <c r="B146" s="1">
        <v>8.7989999999999995</v>
      </c>
      <c r="C146" s="2">
        <v>8.2068000000000004E-8</v>
      </c>
      <c r="D146" s="1">
        <f t="shared" si="8"/>
        <v>5.3940599999999993E-7</v>
      </c>
      <c r="F146" s="1">
        <f t="shared" si="11"/>
        <v>13.499999999999968</v>
      </c>
      <c r="G146" s="2">
        <f t="shared" si="9"/>
        <v>2.6720735785953328E-8</v>
      </c>
      <c r="H146" s="1">
        <f t="shared" si="10"/>
        <v>2.66109536421403E-8</v>
      </c>
    </row>
    <row r="147" spans="1:8">
      <c r="A147" s="1">
        <v>137</v>
      </c>
      <c r="B147" s="1">
        <v>8.8000000000000007</v>
      </c>
      <c r="C147" s="2">
        <v>8.2042000000000001E-8</v>
      </c>
      <c r="D147" s="1">
        <f t="shared" si="8"/>
        <v>5.3940599999999993E-7</v>
      </c>
      <c r="F147" s="1">
        <f t="shared" si="11"/>
        <v>13.599999999999968</v>
      </c>
      <c r="G147" s="2">
        <f t="shared" si="9"/>
        <v>2.6261586338608082E-8</v>
      </c>
      <c r="H147" s="1">
        <f t="shared" si="10"/>
        <v>2.6155804211145091E-8</v>
      </c>
    </row>
    <row r="148" spans="1:8">
      <c r="A148" s="1">
        <v>138</v>
      </c>
      <c r="B148" s="1">
        <v>8.8010000000000002</v>
      </c>
      <c r="C148" s="2">
        <v>8.2013999999999996E-8</v>
      </c>
      <c r="D148" s="1">
        <f t="shared" si="8"/>
        <v>5.3940599999999993E-7</v>
      </c>
      <c r="F148" s="1">
        <f t="shared" si="11"/>
        <v>13.699999999999967</v>
      </c>
      <c r="G148" s="2">
        <f t="shared" si="9"/>
        <v>2.5814731341497612E-8</v>
      </c>
      <c r="H148" s="1">
        <f t="shared" si="10"/>
        <v>2.5712762701987267E-8</v>
      </c>
    </row>
    <row r="149" spans="1:8">
      <c r="A149" s="1">
        <v>139</v>
      </c>
      <c r="B149" s="1">
        <v>8.8019999999999996</v>
      </c>
      <c r="C149" s="2">
        <v>8.1984000000000001E-8</v>
      </c>
      <c r="D149" s="1">
        <f t="shared" si="8"/>
        <v>5.3940599999999993E-7</v>
      </c>
      <c r="F149" s="1">
        <f t="shared" si="11"/>
        <v>13.799999999999967</v>
      </c>
      <c r="G149" s="2">
        <f t="shared" si="9"/>
        <v>2.5379718073724523E-8</v>
      </c>
      <c r="H149" s="1">
        <f t="shared" si="10"/>
        <v>2.5281387017465033E-8</v>
      </c>
    </row>
    <row r="150" spans="1:8">
      <c r="A150" s="1">
        <v>140</v>
      </c>
      <c r="B150" s="1">
        <v>8.8031000000000006</v>
      </c>
      <c r="C150" s="2">
        <v>8.1953000000000006E-8</v>
      </c>
      <c r="D150" s="1">
        <f t="shared" si="8"/>
        <v>5.3940599999999993E-7</v>
      </c>
      <c r="F150" s="1">
        <f t="shared" si="11"/>
        <v>13.899999999999967</v>
      </c>
      <c r="G150" s="2">
        <f t="shared" si="9"/>
        <v>2.4956115149528704E-8</v>
      </c>
      <c r="H150" s="1">
        <f t="shared" si="10"/>
        <v>2.4861255680756471E-8</v>
      </c>
    </row>
    <row r="151" spans="1:8">
      <c r="A151" s="1">
        <v>141</v>
      </c>
      <c r="B151" s="1">
        <v>8.8042999999999996</v>
      </c>
      <c r="C151" s="2">
        <v>8.1919999999999995E-8</v>
      </c>
      <c r="D151" s="1">
        <f t="shared" si="8"/>
        <v>5.3940599999999993E-7</v>
      </c>
      <c r="F151" s="1">
        <f t="shared" si="11"/>
        <v>13.999999999999966</v>
      </c>
      <c r="G151" s="2">
        <f t="shared" si="9"/>
        <v>2.4543511291152337E-8</v>
      </c>
      <c r="H151" s="1">
        <f t="shared" si="10"/>
        <v>2.4451966663691003E-8</v>
      </c>
    </row>
    <row r="152" spans="1:8">
      <c r="A152" s="1">
        <v>142</v>
      </c>
      <c r="B152" s="1">
        <v>8.8056000000000001</v>
      </c>
      <c r="C152" s="2">
        <v>8.1883999999999994E-8</v>
      </c>
      <c r="D152" s="1">
        <f t="shared" si="8"/>
        <v>5.3940599999999993E-7</v>
      </c>
      <c r="F152" s="1">
        <f t="shared" si="11"/>
        <v>14.099999999999966</v>
      </c>
      <c r="G152" s="2">
        <f t="shared" si="9"/>
        <v>2.4141514184992581E-8</v>
      </c>
      <c r="H152" s="1">
        <f t="shared" si="10"/>
        <v>2.4053136293454181E-8</v>
      </c>
    </row>
    <row r="153" spans="1:8">
      <c r="A153" s="1">
        <v>143</v>
      </c>
      <c r="B153" s="1">
        <v>8.8208000000000002</v>
      </c>
      <c r="C153" s="2">
        <v>8.1460000000000003E-8</v>
      </c>
      <c r="D153" s="1">
        <f t="shared" si="8"/>
        <v>5.3940599999999993E-7</v>
      </c>
      <c r="F153" s="1">
        <f t="shared" si="11"/>
        <v>14.199999999999966</v>
      </c>
      <c r="G153" s="2">
        <f t="shared" si="9"/>
        <v>2.3749749414536151E-8</v>
      </c>
      <c r="H153" s="1">
        <f t="shared" si="10"/>
        <v>2.3664398231693442E-8</v>
      </c>
    </row>
    <row r="154" spans="1:8">
      <c r="A154" s="1">
        <v>144</v>
      </c>
      <c r="B154" s="1">
        <v>8.8346</v>
      </c>
      <c r="C154" s="2">
        <v>8.1077000000000005E-8</v>
      </c>
      <c r="D154" s="1">
        <f t="shared" si="8"/>
        <v>5.3940599999999993E-7</v>
      </c>
      <c r="F154" s="1">
        <f t="shared" si="11"/>
        <v>14.299999999999965</v>
      </c>
      <c r="G154" s="2">
        <f t="shared" si="9"/>
        <v>2.3367859464143988E-8</v>
      </c>
      <c r="H154" s="1">
        <f t="shared" si="10"/>
        <v>2.3285402520515797E-8</v>
      </c>
    </row>
    <row r="155" spans="1:8">
      <c r="A155" s="1">
        <v>145</v>
      </c>
      <c r="B155" s="1">
        <v>8.8360000000000003</v>
      </c>
      <c r="C155" s="2">
        <v>8.1039000000000002E-8</v>
      </c>
      <c r="D155" s="1">
        <f t="shared" si="8"/>
        <v>5.3940599999999993E-7</v>
      </c>
      <c r="F155" s="1">
        <f t="shared" si="11"/>
        <v>14.399999999999965</v>
      </c>
      <c r="G155" s="2">
        <f t="shared" si="9"/>
        <v>2.2995502788271396E-8</v>
      </c>
      <c r="H155" s="1">
        <f t="shared" si="10"/>
        <v>2.2915814690340586E-8</v>
      </c>
    </row>
    <row r="156" spans="1:8">
      <c r="A156" s="1">
        <v>146</v>
      </c>
      <c r="B156" s="1">
        <v>8.8373000000000008</v>
      </c>
      <c r="C156" s="2">
        <v>8.1004000000000002E-8</v>
      </c>
      <c r="D156" s="1">
        <f t="shared" si="8"/>
        <v>5.3940599999999993E-7</v>
      </c>
      <c r="F156" s="1">
        <f t="shared" si="11"/>
        <v>14.499999999999964</v>
      </c>
      <c r="G156" s="2">
        <f t="shared" si="9"/>
        <v>2.26323529411766E-8</v>
      </c>
      <c r="H156" s="1">
        <f t="shared" si="10"/>
        <v>2.2555314924998403E-8</v>
      </c>
    </row>
    <row r="157" spans="1:8">
      <c r="A157" s="1">
        <v>147</v>
      </c>
      <c r="B157" s="1">
        <v>8.8384</v>
      </c>
      <c r="C157" s="2">
        <v>8.0971000000000004E-8</v>
      </c>
      <c r="D157" s="1">
        <f t="shared" si="8"/>
        <v>5.3940599999999993E-7</v>
      </c>
      <c r="F157" s="1">
        <f t="shared" si="11"/>
        <v>14.599999999999964</v>
      </c>
      <c r="G157" s="2">
        <f t="shared" si="9"/>
        <v>2.2278097762592667E-8</v>
      </c>
      <c r="H157" s="1">
        <f t="shared" si="10"/>
        <v>2.2203597279854209E-8</v>
      </c>
    </row>
    <row r="158" spans="1:8">
      <c r="A158" s="1">
        <v>148</v>
      </c>
      <c r="B158" s="1">
        <v>8.8396000000000008</v>
      </c>
      <c r="C158" s="2">
        <v>8.0940999999999997E-8</v>
      </c>
      <c r="D158" s="1">
        <f t="shared" si="8"/>
        <v>5.3940599999999993E-7</v>
      </c>
      <c r="F158" s="1">
        <f t="shared" si="11"/>
        <v>14.699999999999964</v>
      </c>
      <c r="G158" s="2">
        <f t="shared" si="9"/>
        <v>2.1932438615220499E-8</v>
      </c>
      <c r="H158" s="1">
        <f t="shared" si="10"/>
        <v>2.1860368949084148E-8</v>
      </c>
    </row>
    <row r="159" spans="1:8">
      <c r="A159" s="1">
        <v>149</v>
      </c>
      <c r="B159" s="1">
        <v>8.8406000000000002</v>
      </c>
      <c r="C159" s="2">
        <v>8.0912000000000003E-8</v>
      </c>
      <c r="D159" s="1">
        <f t="shared" si="8"/>
        <v>5.3940599999999993E-7</v>
      </c>
      <c r="F159" s="1">
        <f t="shared" si="11"/>
        <v>14.799999999999963</v>
      </c>
      <c r="G159" s="2">
        <f t="shared" si="9"/>
        <v>2.1595089670246366E-8</v>
      </c>
      <c r="H159" s="1">
        <f t="shared" si="10"/>
        <v>2.1525349578553762E-8</v>
      </c>
    </row>
    <row r="160" spans="1:8">
      <c r="A160" s="1">
        <v>150</v>
      </c>
      <c r="B160" s="1">
        <v>8.8415999999999997</v>
      </c>
      <c r="C160" s="2">
        <v>8.0884999999999999E-8</v>
      </c>
      <c r="D160" s="1">
        <f t="shared" si="8"/>
        <v>5.3940599999999993E-7</v>
      </c>
      <c r="F160" s="1">
        <f t="shared" si="11"/>
        <v>14.899999999999963</v>
      </c>
      <c r="G160" s="2">
        <f t="shared" si="9"/>
        <v>2.1265777237402154E-8</v>
      </c>
      <c r="H160" s="1">
        <f t="shared" si="10"/>
        <v>2.1198270621035378E-8</v>
      </c>
    </row>
    <row r="161" spans="1:8">
      <c r="A161" s="1">
        <v>151</v>
      </c>
      <c r="B161" s="1">
        <v>8.8424999999999994</v>
      </c>
      <c r="C161" s="2">
        <v>8.0858999999999996E-8</v>
      </c>
      <c r="D161" s="1">
        <f t="shared" si="8"/>
        <v>5.3940599999999993E-7</v>
      </c>
      <c r="F161" s="1">
        <f t="shared" si="11"/>
        <v>14.999999999999963</v>
      </c>
      <c r="G161" s="2">
        <f t="shared" si="9"/>
        <v>2.0944239136371198E-8</v>
      </c>
      <c r="H161" s="1">
        <f t="shared" si="10"/>
        <v>2.0878874730765189E-8</v>
      </c>
    </row>
    <row r="162" spans="1:8">
      <c r="A162" s="1">
        <v>152</v>
      </c>
      <c r="B162" s="1">
        <v>8.9364000000000008</v>
      </c>
      <c r="C162" s="2">
        <v>7.8347999999999995E-8</v>
      </c>
      <c r="D162" s="1">
        <f t="shared" si="8"/>
        <v>5.3940599999999993E-7</v>
      </c>
      <c r="F162" s="1">
        <f t="shared" si="11"/>
        <v>15.099999999999962</v>
      </c>
      <c r="G162" s="2">
        <f t="shared" si="9"/>
        <v>2.0630224106602176E-8</v>
      </c>
      <c r="H162" s="1">
        <f t="shared" si="10"/>
        <v>2.056691519458074E-8</v>
      </c>
    </row>
    <row r="163" spans="1:8">
      <c r="A163" s="1">
        <v>153</v>
      </c>
      <c r="B163" s="1">
        <v>9.0347000000000008</v>
      </c>
      <c r="C163" s="2">
        <v>7.5851999999999997E-8</v>
      </c>
      <c r="D163" s="1">
        <f t="shared" si="8"/>
        <v>5.3940599999999993E-7</v>
      </c>
      <c r="F163" s="1">
        <f t="shared" si="11"/>
        <v>15.199999999999962</v>
      </c>
      <c r="G163" s="2">
        <f t="shared" si="9"/>
        <v>2.0323491252828982E-8</v>
      </c>
      <c r="H163" s="1">
        <f t="shared" si="10"/>
        <v>2.0262155397097456E-8</v>
      </c>
    </row>
    <row r="164" spans="1:8">
      <c r="A164" s="1">
        <v>154</v>
      </c>
      <c r="B164" s="1">
        <v>9.1381999999999994</v>
      </c>
      <c r="C164" s="2">
        <v>7.3363000000000006E-8</v>
      </c>
      <c r="D164" s="1">
        <f t="shared" si="8"/>
        <v>5.3940599999999993E-7</v>
      </c>
      <c r="F164" s="1">
        <f t="shared" si="11"/>
        <v>15.299999999999962</v>
      </c>
      <c r="G164" s="2">
        <f t="shared" si="9"/>
        <v>2.0023809523809638E-8</v>
      </c>
      <c r="H164" s="1">
        <f t="shared" si="10"/>
        <v>1.9964368317582431E-8</v>
      </c>
    </row>
    <row r="165" spans="1:8">
      <c r="A165" s="1">
        <v>155</v>
      </c>
      <c r="B165" s="1">
        <v>9.2478999999999996</v>
      </c>
      <c r="C165" s="2">
        <v>7.0871E-8</v>
      </c>
      <c r="D165" s="1">
        <f t="shared" si="8"/>
        <v>5.3940599999999993E-7</v>
      </c>
      <c r="F165" s="1">
        <f t="shared" si="11"/>
        <v>15.399999999999961</v>
      </c>
      <c r="G165" s="2">
        <f t="shared" si="9"/>
        <v>1.9730957221992604E-8</v>
      </c>
      <c r="H165" s="1">
        <f t="shared" si="10"/>
        <v>1.9673336056365197E-8</v>
      </c>
    </row>
    <row r="166" spans="1:8">
      <c r="A166" s="1">
        <v>156</v>
      </c>
      <c r="B166" s="1">
        <v>9.3649000000000004</v>
      </c>
      <c r="C166" s="2">
        <v>6.8360999999999999E-8</v>
      </c>
      <c r="D166" s="1">
        <f t="shared" si="8"/>
        <v>5.3940599999999993E-7</v>
      </c>
      <c r="F166" s="1">
        <f t="shared" si="11"/>
        <v>15.499999999999961</v>
      </c>
      <c r="G166" s="2">
        <f t="shared" si="9"/>
        <v>1.9444721541997917E-8</v>
      </c>
      <c r="H166" s="1">
        <f t="shared" si="10"/>
        <v>1.9388849388791594E-8</v>
      </c>
    </row>
    <row r="167" spans="1:8">
      <c r="A167" s="1">
        <v>157</v>
      </c>
      <c r="B167" s="1">
        <v>9.4909999999999997</v>
      </c>
      <c r="C167" s="2">
        <v>6.5814999999999997E-8</v>
      </c>
      <c r="D167" s="1">
        <f t="shared" si="8"/>
        <v>5.3940599999999993E-7</v>
      </c>
      <c r="F167" s="1">
        <f t="shared" si="11"/>
        <v>15.599999999999961</v>
      </c>
      <c r="G167" s="2">
        <f t="shared" si="9"/>
        <v>1.9164898135963188E-8</v>
      </c>
      <c r="H167" s="1">
        <f t="shared" si="10"/>
        <v>1.9110707344878495E-8</v>
      </c>
    </row>
    <row r="168" spans="1:8">
      <c r="A168" s="1">
        <v>158</v>
      </c>
      <c r="B168" s="1">
        <v>10.994</v>
      </c>
      <c r="C168" s="2">
        <v>4.4388E-8</v>
      </c>
      <c r="D168" s="1">
        <f t="shared" si="8"/>
        <v>5.3940599999999993E-7</v>
      </c>
      <c r="F168" s="1">
        <f t="shared" si="11"/>
        <v>15.69999999999996</v>
      </c>
      <c r="G168" s="2">
        <f t="shared" si="9"/>
        <v>1.8891290703954101E-8</v>
      </c>
      <c r="H168" s="1">
        <f t="shared" si="10"/>
        <v>1.8838716812966546E-8</v>
      </c>
    </row>
    <row r="169" spans="1:8">
      <c r="A169" s="1">
        <v>159</v>
      </c>
      <c r="B169" s="1">
        <v>12.359</v>
      </c>
      <c r="C169" s="2">
        <v>3.3185999999999997E-8</v>
      </c>
      <c r="D169" s="1">
        <f t="shared" si="8"/>
        <v>5.3940599999999993E-7</v>
      </c>
      <c r="F169" s="1">
        <f t="shared" si="11"/>
        <v>15.79999999999996</v>
      </c>
      <c r="G169" s="2">
        <f t="shared" si="9"/>
        <v>1.8623710607774861E-8</v>
      </c>
      <c r="H169" s="1">
        <f t="shared" si="10"/>
        <v>1.8572692165795047E-8</v>
      </c>
    </row>
    <row r="170" spans="1:8">
      <c r="A170" s="1">
        <v>160</v>
      </c>
      <c r="B170" s="1">
        <v>12.496</v>
      </c>
      <c r="C170" s="2">
        <v>3.2310000000000003E-8</v>
      </c>
      <c r="D170" s="1">
        <f t="shared" si="8"/>
        <v>5.3940599999999993E-7</v>
      </c>
      <c r="F170" s="1">
        <f t="shared" si="11"/>
        <v>15.899999999999959</v>
      </c>
      <c r="G170" s="2">
        <f t="shared" si="9"/>
        <v>1.8361976506639531E-8</v>
      </c>
      <c r="H170" s="1">
        <f t="shared" si="10"/>
        <v>1.8312454907540257E-8</v>
      </c>
    </row>
    <row r="171" spans="1:8">
      <c r="A171" s="1">
        <v>161</v>
      </c>
      <c r="B171" s="1">
        <v>12.622999999999999</v>
      </c>
      <c r="C171" s="2">
        <v>3.1540000000000003E-8</v>
      </c>
      <c r="D171" s="1">
        <f t="shared" si="8"/>
        <v>5.3940599999999993E-7</v>
      </c>
      <c r="F171" s="1">
        <f t="shared" si="11"/>
        <v>15.999999999999959</v>
      </c>
      <c r="G171" s="2">
        <f t="shared" si="9"/>
        <v>1.810591401327914E-8</v>
      </c>
      <c r="H171" s="1">
        <f t="shared" si="10"/>
        <v>1.8057833340465351E-8</v>
      </c>
    </row>
    <row r="172" spans="1:8">
      <c r="A172" s="1">
        <v>162</v>
      </c>
      <c r="B172" s="1">
        <v>12.74</v>
      </c>
      <c r="C172" s="2">
        <v>3.0851000000000003E-8</v>
      </c>
      <c r="D172" s="1">
        <f t="shared" si="8"/>
        <v>5.3940599999999993E-7</v>
      </c>
      <c r="F172" s="1">
        <f t="shared" si="11"/>
        <v>16.099999999999959</v>
      </c>
      <c r="G172" s="2">
        <f t="shared" si="9"/>
        <v>1.785535536916465E-8</v>
      </c>
      <c r="H172" s="1">
        <f t="shared" si="10"/>
        <v>1.7808662249928634E-8</v>
      </c>
    </row>
    <row r="173" spans="1:8">
      <c r="A173" s="1">
        <v>163</v>
      </c>
      <c r="B173" s="1">
        <v>12.849</v>
      </c>
      <c r="C173" s="2">
        <v>3.0226000000000002E-8</v>
      </c>
      <c r="D173" s="1">
        <f t="shared" si="8"/>
        <v>5.3940599999999993E-7</v>
      </c>
      <c r="F173" s="1">
        <f t="shared" si="11"/>
        <v>16.19999999999996</v>
      </c>
      <c r="G173" s="2">
        <f t="shared" si="9"/>
        <v>1.7610139137622361E-8</v>
      </c>
      <c r="H173" s="1">
        <f t="shared" si="10"/>
        <v>1.7564782606587265E-8</v>
      </c>
    </row>
    <row r="174" spans="1:8">
      <c r="A174" s="1">
        <v>164</v>
      </c>
      <c r="B174" s="1">
        <v>12.952999999999999</v>
      </c>
      <c r="C174" s="2">
        <v>2.9655E-8</v>
      </c>
      <c r="D174" s="1">
        <f t="shared" si="8"/>
        <v>5.3940599999999993E-7</v>
      </c>
      <c r="F174" s="1">
        <f t="shared" si="11"/>
        <v>16.299999999999962</v>
      </c>
      <c r="G174" s="2">
        <f t="shared" si="9"/>
        <v>1.7370109913706425E-8</v>
      </c>
      <c r="H174" s="1">
        <f t="shared" si="10"/>
        <v>1.7326041284716568E-8</v>
      </c>
    </row>
    <row r="175" spans="1:8">
      <c r="A175" s="1">
        <v>165</v>
      </c>
      <c r="B175" s="1">
        <v>13.051</v>
      </c>
      <c r="C175" s="2">
        <v>2.9128000000000001E-8</v>
      </c>
      <c r="D175" s="1">
        <f t="shared" si="8"/>
        <v>5.3940599999999993E-7</v>
      </c>
      <c r="F175" s="1">
        <f t="shared" si="11"/>
        <v>16.399999999999963</v>
      </c>
      <c r="G175" s="2">
        <f t="shared" si="9"/>
        <v>1.7135118049775106E-8</v>
      </c>
      <c r="H175" s="1">
        <f t="shared" si="10"/>
        <v>1.7092290795641968E-8</v>
      </c>
    </row>
    <row r="176" spans="1:8">
      <c r="A176" s="1">
        <v>166</v>
      </c>
      <c r="B176" s="1">
        <v>13.145</v>
      </c>
      <c r="C176" s="2">
        <v>2.8638000000000001E-8</v>
      </c>
      <c r="D176" s="1">
        <f t="shared" si="8"/>
        <v>5.3940599999999993E-7</v>
      </c>
      <c r="F176" s="1">
        <f t="shared" si="11"/>
        <v>16.499999999999964</v>
      </c>
      <c r="G176" s="2">
        <f t="shared" si="9"/>
        <v>1.6905019395791779E-8</v>
      </c>
      <c r="H176" s="1">
        <f t="shared" si="10"/>
        <v>1.6863389035350743E-8</v>
      </c>
    </row>
    <row r="177" spans="1:8">
      <c r="A177" s="1">
        <v>167</v>
      </c>
      <c r="B177" s="1">
        <v>13.146000000000001</v>
      </c>
      <c r="C177" s="2">
        <v>2.8631E-8</v>
      </c>
      <c r="D177" s="1">
        <f t="shared" si="8"/>
        <v>5.3940599999999993E-7</v>
      </c>
      <c r="F177" s="1">
        <f t="shared" si="11"/>
        <v>16.599999999999966</v>
      </c>
      <c r="G177" s="2">
        <f t="shared" si="9"/>
        <v>1.6679675053440996E-8</v>
      </c>
      <c r="H177" s="1">
        <f t="shared" si="10"/>
        <v>1.6639199045415966E-8</v>
      </c>
    </row>
    <row r="178" spans="1:8">
      <c r="A178" s="1">
        <v>168</v>
      </c>
      <c r="B178" s="1">
        <v>13.148</v>
      </c>
      <c r="C178" s="2">
        <v>2.8623999999999999E-8</v>
      </c>
      <c r="D178" s="1">
        <f t="shared" si="8"/>
        <v>5.3940599999999993E-7</v>
      </c>
      <c r="F178" s="1">
        <f t="shared" si="11"/>
        <v>16.699999999999967</v>
      </c>
      <c r="G178" s="2">
        <f t="shared" si="9"/>
        <v>1.645895114321328E-8</v>
      </c>
      <c r="H178" s="1">
        <f t="shared" si="10"/>
        <v>1.6419588786424982E-8</v>
      </c>
    </row>
    <row r="179" spans="1:8">
      <c r="A179" s="1">
        <v>169</v>
      </c>
      <c r="B179" s="1">
        <v>13.148999999999999</v>
      </c>
      <c r="C179" s="2">
        <v>2.8616E-8</v>
      </c>
      <c r="D179" s="1">
        <f t="shared" si="8"/>
        <v>5.3940599999999993E-7</v>
      </c>
      <c r="F179" s="1">
        <f t="shared" si="11"/>
        <v>16.799999999999969</v>
      </c>
      <c r="G179" s="2">
        <f t="shared" si="9"/>
        <v>1.6242718583671056E-8</v>
      </c>
      <c r="H179" s="1">
        <f t="shared" si="10"/>
        <v>1.6204430923160029E-8</v>
      </c>
    </row>
    <row r="180" spans="1:8">
      <c r="A180" s="1">
        <v>170</v>
      </c>
      <c r="B180" s="1">
        <v>13.151</v>
      </c>
      <c r="C180" s="2">
        <v>2.8608E-8</v>
      </c>
      <c r="D180" s="1">
        <f t="shared" si="8"/>
        <v>5.3940599999999993E-7</v>
      </c>
      <c r="F180" s="1">
        <f t="shared" si="11"/>
        <v>16.89999999999997</v>
      </c>
      <c r="G180" s="2">
        <f t="shared" si="9"/>
        <v>1.6030852882162116E-8</v>
      </c>
      <c r="H180" s="1">
        <f t="shared" si="10"/>
        <v>1.5993602620829764E-8</v>
      </c>
    </row>
    <row r="181" spans="1:8">
      <c r="A181" s="1">
        <v>171</v>
      </c>
      <c r="B181" s="1">
        <v>13.151999999999999</v>
      </c>
      <c r="C181" s="2">
        <v>2.8599E-8</v>
      </c>
      <c r="D181" s="1">
        <f t="shared" si="8"/>
        <v>5.3940599999999993E-7</v>
      </c>
      <c r="F181" s="1">
        <f t="shared" si="11"/>
        <v>16.999999999999972</v>
      </c>
      <c r="G181" s="2">
        <f t="shared" si="9"/>
        <v>1.5823233936296916E-8</v>
      </c>
      <c r="H181" s="1">
        <f t="shared" si="10"/>
        <v>1.5786985351697681E-8</v>
      </c>
    </row>
    <row r="182" spans="1:8">
      <c r="A182" s="1">
        <v>172</v>
      </c>
      <c r="B182" s="1">
        <v>13.154</v>
      </c>
      <c r="C182" s="2">
        <v>2.859E-8</v>
      </c>
      <c r="D182" s="1">
        <f t="shared" si="8"/>
        <v>5.3940599999999993E-7</v>
      </c>
      <c r="F182" s="1">
        <f t="shared" si="11"/>
        <v>17.099999999999973</v>
      </c>
      <c r="G182" s="2">
        <f t="shared" si="9"/>
        <v>1.5619745845552355E-8</v>
      </c>
      <c r="H182" s="1">
        <f t="shared" si="10"/>
        <v>1.5584464711497268E-8</v>
      </c>
    </row>
    <row r="183" spans="1:8">
      <c r="A183" s="1">
        <v>173</v>
      </c>
      <c r="B183" s="1">
        <v>13.176</v>
      </c>
      <c r="C183" s="2">
        <v>2.8477999999999999E-8</v>
      </c>
      <c r="D183" s="1">
        <f t="shared" si="8"/>
        <v>5.3940599999999993E-7</v>
      </c>
      <c r="F183" s="1">
        <f t="shared" si="11"/>
        <v>17.199999999999974</v>
      </c>
      <c r="G183" s="2">
        <f t="shared" si="9"/>
        <v>1.5420276732407169E-8</v>
      </c>
      <c r="H183" s="1">
        <f t="shared" si="10"/>
        <v>1.538593024506398E-8</v>
      </c>
    </row>
    <row r="184" spans="1:8">
      <c r="A184" s="1">
        <v>174</v>
      </c>
      <c r="B184" s="1">
        <v>13.196</v>
      </c>
      <c r="C184" s="2">
        <v>2.8375999999999999E-8</v>
      </c>
      <c r="D184" s="1">
        <f t="shared" si="8"/>
        <v>5.3940599999999993E-7</v>
      </c>
      <c r="F184" s="1">
        <f t="shared" si="11"/>
        <v>17.299999999999976</v>
      </c>
      <c r="G184" s="2">
        <f t="shared" si="9"/>
        <v>1.522471857245367E-8</v>
      </c>
      <c r="H184" s="1">
        <f t="shared" si="10"/>
        <v>1.5191275280651806E-8</v>
      </c>
    </row>
    <row r="185" spans="1:8">
      <c r="A185" s="1">
        <v>175</v>
      </c>
      <c r="B185" s="1">
        <v>13.198</v>
      </c>
      <c r="C185" s="2">
        <v>2.8366000000000001E-8</v>
      </c>
      <c r="D185" s="1">
        <f t="shared" si="8"/>
        <v>5.3940599999999993E-7</v>
      </c>
      <c r="F185" s="1">
        <f t="shared" si="11"/>
        <v>17.399999999999977</v>
      </c>
      <c r="G185" s="2">
        <f t="shared" si="9"/>
        <v>1.5032967032967077E-8</v>
      </c>
      <c r="H185" s="1">
        <f t="shared" si="10"/>
        <v>1.500039677243669E-8</v>
      </c>
    </row>
    <row r="186" spans="1:8">
      <c r="A186" s="1">
        <v>176</v>
      </c>
      <c r="B186" s="1">
        <v>13.2</v>
      </c>
      <c r="C186" s="2">
        <v>2.8357E-8</v>
      </c>
      <c r="D186" s="1">
        <f t="shared" si="8"/>
        <v>5.3940599999999993E-7</v>
      </c>
      <c r="F186" s="1">
        <f t="shared" si="11"/>
        <v>17.499999999999979</v>
      </c>
      <c r="G186" s="2">
        <f t="shared" si="9"/>
        <v>1.4844921319447673E-8</v>
      </c>
      <c r="H186" s="1">
        <f t="shared" si="10"/>
        <v>1.4813195150741616E-8</v>
      </c>
    </row>
    <row r="187" spans="1:8">
      <c r="A187" s="1">
        <v>177</v>
      </c>
      <c r="B187" s="1">
        <v>13.202</v>
      </c>
      <c r="C187" s="2">
        <v>2.8348E-8</v>
      </c>
      <c r="D187" s="1">
        <f t="shared" si="8"/>
        <v>5.3940599999999993E-7</v>
      </c>
      <c r="F187" s="1">
        <f t="shared" si="11"/>
        <v>17.59999999999998</v>
      </c>
      <c r="G187" s="2">
        <f t="shared" si="9"/>
        <v>1.4660484029682356E-8</v>
      </c>
      <c r="H187" s="1">
        <f t="shared" si="10"/>
        <v>1.4629574179547611E-8</v>
      </c>
    </row>
    <row r="188" spans="1:8">
      <c r="A188" s="1">
        <v>178</v>
      </c>
      <c r="B188" s="1">
        <v>13.202999999999999</v>
      </c>
      <c r="C188" s="2">
        <v>2.8340000000000001E-8</v>
      </c>
      <c r="D188" s="1">
        <f t="shared" si="8"/>
        <v>5.3940599999999993E-7</v>
      </c>
      <c r="F188" s="1">
        <f t="shared" si="11"/>
        <v>17.699999999999982</v>
      </c>
      <c r="G188" s="2">
        <f t="shared" si="9"/>
        <v>1.4479561014901361E-8</v>
      </c>
      <c r="H188" s="1">
        <f t="shared" si="10"/>
        <v>1.4449440820883163E-8</v>
      </c>
    </row>
    <row r="189" spans="1:8">
      <c r="A189" s="1">
        <v>179</v>
      </c>
      <c r="B189" s="1">
        <v>13.205</v>
      </c>
      <c r="C189" s="2">
        <v>2.8333E-8</v>
      </c>
      <c r="D189" s="1">
        <f t="shared" si="8"/>
        <v>5.3940599999999993E-7</v>
      </c>
      <c r="F189" s="1">
        <f t="shared" si="11"/>
        <v>17.799999999999983</v>
      </c>
      <c r="G189" s="2">
        <f t="shared" si="9"/>
        <v>1.4302061247632905E-8</v>
      </c>
      <c r="H189" s="1">
        <f t="shared" si="10"/>
        <v>1.4272705105709838E-8</v>
      </c>
    </row>
    <row r="190" spans="1:8">
      <c r="A190" s="1">
        <v>180</v>
      </c>
      <c r="B190" s="1">
        <v>13.206</v>
      </c>
      <c r="C190" s="2">
        <v>2.8325000000000001E-8</v>
      </c>
      <c r="D190" s="1">
        <f t="shared" si="8"/>
        <v>5.3940599999999993E-7</v>
      </c>
      <c r="F190" s="1">
        <f t="shared" si="11"/>
        <v>17.899999999999984</v>
      </c>
      <c r="G190" s="2">
        <f t="shared" si="9"/>
        <v>1.41278966958838E-8</v>
      </c>
      <c r="H190" s="1">
        <f t="shared" si="10"/>
        <v>1.4099280010946261E-8</v>
      </c>
    </row>
    <row r="191" spans="1:8">
      <c r="A191" s="1">
        <v>181</v>
      </c>
      <c r="B191" s="1">
        <v>13.208</v>
      </c>
      <c r="C191" s="2">
        <v>2.8317999999999999E-8</v>
      </c>
      <c r="D191" s="1">
        <f t="shared" si="8"/>
        <v>5.3940599999999993E-7</v>
      </c>
      <c r="F191" s="1">
        <f t="shared" si="11"/>
        <v>17.999999999999986</v>
      </c>
      <c r="G191" s="2">
        <f t="shared" si="9"/>
        <v>1.3956982203297325E-8</v>
      </c>
      <c r="H191" s="1">
        <f t="shared" si="10"/>
        <v>1.3929081342294674E-8</v>
      </c>
    </row>
    <row r="192" spans="1:8">
      <c r="A192" s="1">
        <v>182</v>
      </c>
      <c r="B192" s="1">
        <v>13.32</v>
      </c>
      <c r="C192" s="2">
        <v>2.7759000000000001E-8</v>
      </c>
      <c r="D192" s="1">
        <f t="shared" si="8"/>
        <v>5.3940599999999993E-7</v>
      </c>
      <c r="F192" s="1">
        <f t="shared" si="11"/>
        <v>18.099999999999987</v>
      </c>
      <c r="G192" s="2">
        <f t="shared" si="9"/>
        <v>1.3789235374961401E-8</v>
      </c>
      <c r="H192" s="1">
        <f t="shared" si="10"/>
        <v>1.3762027622555089E-8</v>
      </c>
    </row>
    <row r="193" spans="1:8">
      <c r="A193" s="1">
        <v>183</v>
      </c>
      <c r="B193" s="1">
        <v>13.438000000000001</v>
      </c>
      <c r="C193" s="2">
        <v>2.7190999999999998E-8</v>
      </c>
      <c r="D193" s="1">
        <f t="shared" si="8"/>
        <v>5.3940599999999993E-7</v>
      </c>
      <c r="F193" s="1">
        <f t="shared" si="11"/>
        <v>18.199999999999989</v>
      </c>
      <c r="G193" s="2">
        <f t="shared" si="9"/>
        <v>1.3624576468560336E-8</v>
      </c>
      <c r="H193" s="1">
        <f t="shared" si="10"/>
        <v>1.3598039985131367E-8</v>
      </c>
    </row>
    <row r="194" spans="1:8">
      <c r="A194" s="1">
        <v>184</v>
      </c>
      <c r="B194" s="1">
        <v>13.561999999999999</v>
      </c>
      <c r="C194" s="2">
        <v>2.6612E-8</v>
      </c>
      <c r="D194" s="1">
        <f t="shared" si="8"/>
        <v>5.3940599999999993E-7</v>
      </c>
      <c r="F194" s="1">
        <f t="shared" si="11"/>
        <v>18.29999999999999</v>
      </c>
      <c r="G194" s="2">
        <f t="shared" si="9"/>
        <v>1.3462928290582305E-8</v>
      </c>
      <c r="H194" s="1">
        <f t="shared" si="10"/>
        <v>1.3437042072451623E-8</v>
      </c>
    </row>
    <row r="195" spans="1:8">
      <c r="A195" s="1">
        <v>185</v>
      </c>
      <c r="B195" s="1">
        <v>13.693</v>
      </c>
      <c r="C195" s="2">
        <v>2.6020000000000001E-8</v>
      </c>
      <c r="D195" s="1">
        <f t="shared" si="8"/>
        <v>5.3940599999999993E-7</v>
      </c>
      <c r="F195" s="1">
        <f t="shared" si="11"/>
        <v>18.399999999999991</v>
      </c>
      <c r="G195" s="2">
        <f t="shared" si="9"/>
        <v>1.3304216097312158E-8</v>
      </c>
      <c r="H195" s="1">
        <f t="shared" si="10"/>
        <v>1.3278959939042045E-8</v>
      </c>
    </row>
    <row r="196" spans="1:8">
      <c r="A196" s="1">
        <v>186</v>
      </c>
      <c r="B196" s="1">
        <v>13.834</v>
      </c>
      <c r="C196" s="2">
        <v>2.5410999999999998E-8</v>
      </c>
      <c r="D196" s="1">
        <f t="shared" si="8"/>
        <v>5.3940599999999993E-7</v>
      </c>
      <c r="F196" s="1">
        <f t="shared" si="11"/>
        <v>18.499999999999993</v>
      </c>
      <c r="G196" s="2">
        <f t="shared" si="9"/>
        <v>1.3148367500355565E-8</v>
      </c>
      <c r="H196" s="1">
        <f t="shared" si="10"/>
        <v>1.3123721959008839E-8</v>
      </c>
    </row>
    <row r="197" spans="1:8">
      <c r="A197" s="1">
        <v>187</v>
      </c>
      <c r="B197" s="1">
        <v>13.984999999999999</v>
      </c>
      <c r="C197" s="2">
        <v>2.4779E-8</v>
      </c>
      <c r="D197" s="1">
        <f t="shared" si="8"/>
        <v>5.3940599999999993E-7</v>
      </c>
      <c r="F197" s="1">
        <f t="shared" si="11"/>
        <v>18.599999999999994</v>
      </c>
      <c r="G197" s="2">
        <f t="shared" si="9"/>
        <v>1.2995312376455714E-8</v>
      </c>
      <c r="H197" s="1">
        <f t="shared" si="10"/>
        <v>1.2971258737697754E-8</v>
      </c>
    </row>
    <row r="198" spans="1:8">
      <c r="A198" s="1">
        <v>188</v>
      </c>
      <c r="B198" s="1">
        <v>15.785</v>
      </c>
      <c r="C198" s="2">
        <v>1.8813000000000001E-8</v>
      </c>
      <c r="D198" s="1">
        <f t="shared" si="8"/>
        <v>5.3940599999999993E-7</v>
      </c>
      <c r="F198" s="1">
        <f t="shared" si="11"/>
        <v>18.699999999999996</v>
      </c>
      <c r="G198" s="2">
        <f t="shared" si="9"/>
        <v>1.2844982781378094E-8</v>
      </c>
      <c r="H198" s="1">
        <f t="shared" si="10"/>
        <v>1.282150302731417E-8</v>
      </c>
    </row>
    <row r="199" spans="1:8">
      <c r="A199" s="1">
        <v>189</v>
      </c>
      <c r="B199" s="1">
        <v>17.420999999999999</v>
      </c>
      <c r="C199" s="2">
        <v>1.5122999999999999E-8</v>
      </c>
      <c r="D199" s="1">
        <f t="shared" si="8"/>
        <v>5.3940599999999993E-7</v>
      </c>
      <c r="F199" s="1">
        <f t="shared" si="11"/>
        <v>18.799999999999997</v>
      </c>
      <c r="G199" s="2">
        <f t="shared" si="9"/>
        <v>1.269731286765202E-8</v>
      </c>
      <c r="H199" s="1">
        <f t="shared" si="10"/>
        <v>1.267438964629942E-8</v>
      </c>
    </row>
    <row r="200" spans="1:8">
      <c r="A200" s="1">
        <v>190</v>
      </c>
      <c r="B200" s="1">
        <v>17.585999999999999</v>
      </c>
      <c r="C200" s="2">
        <v>1.4814E-8</v>
      </c>
      <c r="D200" s="1">
        <f t="shared" si="8"/>
        <v>5.3940599999999993E-7</v>
      </c>
      <c r="F200" s="1">
        <f t="shared" si="11"/>
        <v>18.899999999999999</v>
      </c>
      <c r="G200" s="2">
        <f t="shared" si="9"/>
        <v>1.255223880597015E-8</v>
      </c>
      <c r="H200" s="1">
        <f t="shared" si="10"/>
        <v>1.2529855402271111E-8</v>
      </c>
    </row>
    <row r="201" spans="1:8">
      <c r="A201" s="1">
        <v>191</v>
      </c>
      <c r="B201" s="1">
        <v>17.736999999999998</v>
      </c>
      <c r="C201" s="2">
        <v>1.4539E-8</v>
      </c>
      <c r="D201" s="1">
        <f t="shared" si="8"/>
        <v>5.3940599999999993E-7</v>
      </c>
      <c r="F201" s="1">
        <f t="shared" si="11"/>
        <v>19</v>
      </c>
      <c r="G201" s="2">
        <f t="shared" si="9"/>
        <v>1.2409698710058619E-8</v>
      </c>
      <c r="H201" s="1">
        <f t="shared" si="10"/>
        <v>1.2387839018346093E-8</v>
      </c>
    </row>
    <row r="202" spans="1:8">
      <c r="A202" s="1">
        <v>192</v>
      </c>
      <c r="B202" s="1">
        <v>17.876999999999999</v>
      </c>
      <c r="C202" s="2">
        <v>1.4292E-8</v>
      </c>
      <c r="D202" s="1">
        <f t="shared" si="8"/>
        <v>5.3940599999999993E-7</v>
      </c>
      <c r="F202" s="1">
        <f t="shared" si="11"/>
        <v>19.100000000000001</v>
      </c>
      <c r="G202" s="2">
        <f t="shared" si="9"/>
        <v>1.2269632564841497E-8</v>
      </c>
      <c r="H202" s="1">
        <f t="shared" si="10"/>
        <v>1.2248281062675373E-8</v>
      </c>
    </row>
    <row r="203" spans="1:8">
      <c r="A203" s="1">
        <v>193</v>
      </c>
      <c r="B203" s="1">
        <v>18.009</v>
      </c>
      <c r="C203" s="2">
        <v>1.4065000000000001E-8</v>
      </c>
      <c r="D203" s="1">
        <f t="shared" ref="D203:D236" si="12">0.7*0.00000077058</f>
        <v>5.3940599999999993E-7</v>
      </c>
      <c r="F203" s="1">
        <f t="shared" si="11"/>
        <v>19.200000000000003</v>
      </c>
      <c r="G203" s="2">
        <f t="shared" ref="G203:G266" si="13">$J$11/((1-(F203/$I$11)^2)^2+(2*0*(F203/$I$11))^2)^(1/2)</f>
        <v>1.2131982157733226E-8</v>
      </c>
      <c r="H203" s="1">
        <f t="shared" ref="H203:H236" si="14">$J$11/((1-(F203/$I$11)^2)^2+(2*0.1*(F203/$I$11))^2)^(1/2)</f>
        <v>1.2111123881029815E-8</v>
      </c>
    </row>
    <row r="204" spans="1:8">
      <c r="A204" s="1">
        <v>194</v>
      </c>
      <c r="B204" s="1">
        <v>18.132999999999999</v>
      </c>
      <c r="C204" s="2">
        <v>1.3857E-8</v>
      </c>
      <c r="D204" s="1">
        <f t="shared" si="12"/>
        <v>5.3940599999999993E-7</v>
      </c>
      <c r="F204" s="1">
        <f t="shared" ref="F204:F236" si="15">0.1+F203</f>
        <v>19.300000000000004</v>
      </c>
      <c r="G204" s="2">
        <f t="shared" si="13"/>
        <v>1.1996691012902263E-8</v>
      </c>
      <c r="H204" s="1">
        <f t="shared" si="14"/>
        <v>1.1976311532284782E-8</v>
      </c>
    </row>
    <row r="205" spans="1:8">
      <c r="A205" s="1">
        <v>195</v>
      </c>
      <c r="B205" s="1">
        <v>18.251000000000001</v>
      </c>
      <c r="C205" s="2">
        <v>1.3663E-8</v>
      </c>
      <c r="D205" s="1">
        <f t="shared" si="12"/>
        <v>5.3940599999999993E-7</v>
      </c>
      <c r="F205" s="1">
        <f t="shared" si="15"/>
        <v>19.400000000000006</v>
      </c>
      <c r="G205" s="2">
        <f t="shared" si="13"/>
        <v>1.1863704328358031E-8</v>
      </c>
      <c r="H205" s="1">
        <f t="shared" si="14"/>
        <v>1.1843789726660234E-8</v>
      </c>
    </row>
    <row r="206" spans="1:8">
      <c r="A206" s="1">
        <v>196</v>
      </c>
      <c r="B206" s="1">
        <v>18.363</v>
      </c>
      <c r="C206" s="2">
        <v>1.3482E-8</v>
      </c>
      <c r="D206" s="1">
        <f t="shared" si="12"/>
        <v>5.3940599999999993E-7</v>
      </c>
      <c r="F206" s="1">
        <f t="shared" si="15"/>
        <v>19.500000000000007</v>
      </c>
      <c r="G206" s="2">
        <f t="shared" si="13"/>
        <v>1.173296891572162E-8</v>
      </c>
      <c r="H206" s="1">
        <f t="shared" si="14"/>
        <v>1.1713505766580988E-8</v>
      </c>
    </row>
    <row r="207" spans="1:8">
      <c r="A207" s="1">
        <v>197</v>
      </c>
      <c r="B207" s="1">
        <v>18.364999999999998</v>
      </c>
      <c r="C207" s="2">
        <v>1.3478999999999999E-8</v>
      </c>
      <c r="D207" s="1">
        <f t="shared" si="12"/>
        <v>5.3940599999999993E-7</v>
      </c>
      <c r="F207" s="1">
        <f t="shared" si="15"/>
        <v>19.600000000000009</v>
      </c>
      <c r="G207" s="2">
        <f t="shared" si="13"/>
        <v>1.160443314254845E-8</v>
      </c>
      <c r="H207" s="1">
        <f t="shared" si="14"/>
        <v>1.1585408490029253E-8</v>
      </c>
    </row>
    <row r="208" spans="1:8">
      <c r="A208" s="1">
        <v>198</v>
      </c>
      <c r="B208" s="1">
        <v>18.367000000000001</v>
      </c>
      <c r="C208" s="2">
        <v>1.3475999999999999E-8</v>
      </c>
      <c r="D208" s="1">
        <f t="shared" si="12"/>
        <v>5.3940599999999993E-7</v>
      </c>
      <c r="F208" s="1">
        <f t="shared" si="15"/>
        <v>19.70000000000001</v>
      </c>
      <c r="G208" s="2">
        <f t="shared" si="13"/>
        <v>1.1478046877078462E-8</v>
      </c>
      <c r="H208" s="1">
        <f t="shared" si="14"/>
        <v>1.1459448216268622E-8</v>
      </c>
    </row>
    <row r="209" spans="1:8">
      <c r="A209" s="1">
        <v>199</v>
      </c>
      <c r="B209" s="1">
        <v>18.369</v>
      </c>
      <c r="C209" s="2">
        <v>1.3472E-8</v>
      </c>
      <c r="D209" s="1">
        <f t="shared" si="12"/>
        <v>5.3940599999999993E-7</v>
      </c>
      <c r="F209" s="1">
        <f t="shared" si="15"/>
        <v>19.800000000000011</v>
      </c>
      <c r="G209" s="2">
        <f t="shared" si="13"/>
        <v>1.1353761435296194E-8</v>
      </c>
      <c r="H209" s="1">
        <f t="shared" si="14"/>
        <v>1.133557669382535E-8</v>
      </c>
    </row>
    <row r="210" spans="1:8">
      <c r="A210" s="1">
        <v>200</v>
      </c>
      <c r="B210" s="1">
        <v>18.370999999999999</v>
      </c>
      <c r="C210" s="2">
        <v>1.3469E-8</v>
      </c>
      <c r="D210" s="1">
        <f t="shared" si="12"/>
        <v>5.3940599999999993E-7</v>
      </c>
      <c r="F210" s="1">
        <f t="shared" si="15"/>
        <v>19.900000000000013</v>
      </c>
      <c r="G210" s="2">
        <f t="shared" si="13"/>
        <v>1.123152953018968E-8</v>
      </c>
      <c r="H210" s="1">
        <f t="shared" si="14"/>
        <v>1.121374705061894E-8</v>
      </c>
    </row>
    <row r="211" spans="1:8">
      <c r="A211" s="1">
        <v>201</v>
      </c>
      <c r="B211" s="1">
        <v>18.373000000000001</v>
      </c>
      <c r="C211" s="2">
        <v>1.3465E-8</v>
      </c>
      <c r="D211" s="1">
        <f t="shared" si="12"/>
        <v>5.3940599999999993E-7</v>
      </c>
      <c r="F211" s="1">
        <f t="shared" si="15"/>
        <v>20.000000000000014</v>
      </c>
      <c r="G211" s="2">
        <f t="shared" si="13"/>
        <v>1.1111305223102982E-8</v>
      </c>
      <c r="H211" s="1">
        <f t="shared" si="14"/>
        <v>1.109391374613988E-8</v>
      </c>
    </row>
    <row r="212" spans="1:8">
      <c r="A212" s="1">
        <v>202</v>
      </c>
      <c r="B212" s="1">
        <v>18.376000000000001</v>
      </c>
      <c r="C212" s="2">
        <v>1.3461000000000001E-8</v>
      </c>
      <c r="D212" s="1">
        <f t="shared" si="12"/>
        <v>5.3940599999999993E-7</v>
      </c>
      <c r="F212" s="1">
        <f t="shared" si="15"/>
        <v>20.100000000000016</v>
      </c>
      <c r="G212" s="2">
        <f t="shared" si="13"/>
        <v>1.0993043877082996E-8</v>
      </c>
      <c r="H212" s="1">
        <f t="shared" si="14"/>
        <v>1.0976032525577929E-8</v>
      </c>
    </row>
    <row r="213" spans="1:8">
      <c r="A213" s="1">
        <v>203</v>
      </c>
      <c r="B213" s="1">
        <v>18.405999999999999</v>
      </c>
      <c r="C213" s="2">
        <v>1.3414E-8</v>
      </c>
      <c r="D213" s="1">
        <f t="shared" si="12"/>
        <v>5.3940599999999993E-7</v>
      </c>
      <c r="F213" s="1">
        <f t="shared" si="15"/>
        <v>20.200000000000017</v>
      </c>
      <c r="G213" s="2">
        <f t="shared" si="13"/>
        <v>1.0876702112126403E-8</v>
      </c>
      <c r="H213" s="1">
        <f t="shared" si="14"/>
        <v>1.086006037580936E-8</v>
      </c>
    </row>
    <row r="214" spans="1:8">
      <c r="A214" s="1">
        <v>204</v>
      </c>
      <c r="B214" s="1">
        <v>18.433</v>
      </c>
      <c r="C214" s="2">
        <v>1.3370999999999999E-8</v>
      </c>
      <c r="D214" s="1">
        <f t="shared" si="12"/>
        <v>5.3940599999999993E-7</v>
      </c>
      <c r="F214" s="1">
        <f t="shared" si="15"/>
        <v>20.300000000000018</v>
      </c>
      <c r="G214" s="2">
        <f t="shared" si="13"/>
        <v>1.0762237762237743E-8</v>
      </c>
      <c r="H214" s="1">
        <f t="shared" si="14"/>
        <v>1.0745955483156629E-8</v>
      </c>
    </row>
    <row r="215" spans="1:8">
      <c r="A215" s="1">
        <v>205</v>
      </c>
      <c r="B215" s="1">
        <v>18.436</v>
      </c>
      <c r="C215" s="2">
        <v>1.3366E-8</v>
      </c>
      <c r="D215" s="1">
        <f t="shared" si="12"/>
        <v>5.3940599999999993E-7</v>
      </c>
      <c r="F215" s="1">
        <f t="shared" si="15"/>
        <v>20.40000000000002</v>
      </c>
      <c r="G215" s="2">
        <f t="shared" si="13"/>
        <v>1.0649609834214231E-8</v>
      </c>
      <c r="H215" s="1">
        <f t="shared" si="14"/>
        <v>1.0633677192838291E-8</v>
      </c>
    </row>
    <row r="216" spans="1:8">
      <c r="A216" s="1">
        <v>206</v>
      </c>
      <c r="B216" s="1">
        <v>18.437999999999999</v>
      </c>
      <c r="C216" s="2">
        <v>1.3362000000000001E-8</v>
      </c>
      <c r="D216" s="1">
        <f t="shared" si="12"/>
        <v>5.3940599999999993E-7</v>
      </c>
      <c r="F216" s="1">
        <f t="shared" si="15"/>
        <v>20.500000000000021</v>
      </c>
      <c r="G216" s="2">
        <f t="shared" si="13"/>
        <v>1.053877846807746E-8</v>
      </c>
      <c r="H216" s="1">
        <f t="shared" si="14"/>
        <v>1.0523185970031446E-8</v>
      </c>
    </row>
    <row r="217" spans="1:8">
      <c r="A217" s="1">
        <v>207</v>
      </c>
      <c r="B217" s="1">
        <v>18.440999999999999</v>
      </c>
      <c r="C217" s="2">
        <v>1.3359000000000001E-8</v>
      </c>
      <c r="D217" s="1">
        <f t="shared" si="12"/>
        <v>5.3940599999999993E-7</v>
      </c>
      <c r="F217" s="1">
        <f t="shared" si="15"/>
        <v>20.600000000000023</v>
      </c>
      <c r="G217" s="2">
        <f t="shared" si="13"/>
        <v>1.0429704899076205E-8</v>
      </c>
      <c r="H217" s="1">
        <f t="shared" si="14"/>
        <v>1.0414443362472909E-8</v>
      </c>
    </row>
    <row r="218" spans="1:8">
      <c r="A218" s="1">
        <v>208</v>
      </c>
      <c r="B218" s="1">
        <v>18.443000000000001</v>
      </c>
      <c r="C218" s="2">
        <v>1.3354999999999999E-8</v>
      </c>
      <c r="D218" s="1">
        <f t="shared" si="12"/>
        <v>5.3940599999999993E-7</v>
      </c>
      <c r="F218" s="1">
        <f t="shared" si="15"/>
        <v>20.700000000000024</v>
      </c>
      <c r="G218" s="2">
        <f t="shared" si="13"/>
        <v>1.0322351421188603E-8</v>
      </c>
      <c r="H218" s="1">
        <f t="shared" si="14"/>
        <v>1.0307411964529246E-8</v>
      </c>
    </row>
    <row r="219" spans="1:8">
      <c r="A219" s="1">
        <v>209</v>
      </c>
      <c r="B219" s="1">
        <v>18.445</v>
      </c>
      <c r="C219" s="2">
        <v>1.3351999999999999E-8</v>
      </c>
      <c r="D219" s="1">
        <f t="shared" si="12"/>
        <v>5.3940599999999993E-7</v>
      </c>
      <c r="F219" s="1">
        <f t="shared" si="15"/>
        <v>20.800000000000026</v>
      </c>
      <c r="G219" s="2">
        <f t="shared" si="13"/>
        <v>1.0216681352055615E-8</v>
      </c>
      <c r="H219" s="1">
        <f t="shared" si="14"/>
        <v>1.0202055382669273E-8</v>
      </c>
    </row>
    <row r="220" spans="1:8">
      <c r="A220" s="1">
        <v>210</v>
      </c>
      <c r="B220" s="1">
        <v>18.446999999999999</v>
      </c>
      <c r="C220" s="2">
        <v>1.3348999999999999E-8</v>
      </c>
      <c r="D220" s="1">
        <f t="shared" si="12"/>
        <v>5.3940599999999993E-7</v>
      </c>
      <c r="F220" s="1">
        <f t="shared" si="15"/>
        <v>20.900000000000027</v>
      </c>
      <c r="G220" s="2">
        <f t="shared" si="13"/>
        <v>1.0112658999281153E-8</v>
      </c>
      <c r="H220" s="1">
        <f t="shared" si="14"/>
        <v>1.0098338202276089E-8</v>
      </c>
    </row>
    <row r="221" spans="1:8">
      <c r="A221" s="1">
        <v>211</v>
      </c>
      <c r="B221" s="1">
        <v>18.449000000000002</v>
      </c>
      <c r="C221" s="2">
        <v>1.3345999999999999E-8</v>
      </c>
      <c r="D221" s="1">
        <f t="shared" si="12"/>
        <v>5.3940599999999993E-7</v>
      </c>
      <c r="F221" s="1">
        <f t="shared" si="15"/>
        <v>21.000000000000028</v>
      </c>
      <c r="G221" s="2">
        <f t="shared" si="13"/>
        <v>1.0010249628037664E-8</v>
      </c>
      <c r="H221" s="1">
        <f t="shared" si="14"/>
        <v>9.9962259557389169E-9</v>
      </c>
    </row>
    <row r="222" spans="1:8">
      <c r="A222" s="1">
        <v>212</v>
      </c>
      <c r="B222" s="1">
        <v>18.483000000000001</v>
      </c>
      <c r="C222" s="2">
        <v>1.3293E-8</v>
      </c>
      <c r="D222" s="1">
        <f t="shared" si="12"/>
        <v>5.3940599999999993E-7</v>
      </c>
      <c r="F222" s="1">
        <f t="shared" si="15"/>
        <v>21.10000000000003</v>
      </c>
      <c r="G222" s="2">
        <f t="shared" si="13"/>
        <v>9.9094194299188904E-9</v>
      </c>
      <c r="H222" s="1">
        <f t="shared" si="14"/>
        <v>9.8956850917679269E-9</v>
      </c>
    </row>
    <row r="223" spans="1:8">
      <c r="A223" s="1">
        <v>213</v>
      </c>
      <c r="B223" s="1">
        <v>18.518000000000001</v>
      </c>
      <c r="C223" s="2">
        <v>1.3238000000000001E-8</v>
      </c>
      <c r="D223" s="1">
        <f t="shared" si="12"/>
        <v>5.3940599999999993E-7</v>
      </c>
      <c r="F223" s="1">
        <f t="shared" si="15"/>
        <v>21.200000000000031</v>
      </c>
      <c r="G223" s="2">
        <f t="shared" si="13"/>
        <v>9.810135492984673E-9</v>
      </c>
      <c r="H223" s="1">
        <f t="shared" si="14"/>
        <v>9.7966829458782424E-9</v>
      </c>
    </row>
    <row r="224" spans="1:8">
      <c r="A224" s="1">
        <v>214</v>
      </c>
      <c r="B224" s="1">
        <v>18.555</v>
      </c>
      <c r="C224" s="2">
        <v>1.318E-8</v>
      </c>
      <c r="D224" s="1">
        <f t="shared" si="12"/>
        <v>5.3940599999999993E-7</v>
      </c>
      <c r="F224" s="1">
        <f t="shared" si="15"/>
        <v>21.300000000000033</v>
      </c>
      <c r="G224" s="2">
        <f t="shared" si="13"/>
        <v>9.7123657729451973E-9</v>
      </c>
      <c r="H224" s="1">
        <f t="shared" si="14"/>
        <v>9.6991877119917812E-9</v>
      </c>
    </row>
    <row r="225" spans="1:8">
      <c r="A225" s="1">
        <v>215</v>
      </c>
      <c r="B225" s="1">
        <v>18.594999999999999</v>
      </c>
      <c r="C225" s="2">
        <v>1.3119999999999999E-8</v>
      </c>
      <c r="D225" s="1">
        <f t="shared" si="12"/>
        <v>5.3940599999999993E-7</v>
      </c>
      <c r="F225" s="1">
        <f t="shared" si="15"/>
        <v>21.400000000000034</v>
      </c>
      <c r="G225" s="2">
        <f t="shared" si="13"/>
        <v>9.6160790654349349E-9</v>
      </c>
      <c r="H225" s="1">
        <f t="shared" si="14"/>
        <v>9.6031684151084034E-9</v>
      </c>
    </row>
    <row r="226" spans="1:8">
      <c r="A226" s="1">
        <v>216</v>
      </c>
      <c r="B226" s="1">
        <v>18.637</v>
      </c>
      <c r="C226" s="2">
        <v>1.3055E-8</v>
      </c>
      <c r="D226" s="1">
        <f t="shared" si="12"/>
        <v>5.3940599999999993E-7</v>
      </c>
      <c r="F226" s="1">
        <f t="shared" si="15"/>
        <v>21.500000000000036</v>
      </c>
      <c r="G226" s="2">
        <f t="shared" si="13"/>
        <v>9.521244979328778E-9</v>
      </c>
      <c r="H226" s="1">
        <f t="shared" si="14"/>
        <v>9.5085948849999308E-9</v>
      </c>
    </row>
    <row r="227" spans="1:8">
      <c r="A227" s="1">
        <v>217</v>
      </c>
      <c r="B227" s="1">
        <v>18.683</v>
      </c>
      <c r="C227" s="2">
        <v>1.2987000000000001E-8</v>
      </c>
      <c r="D227" s="1">
        <f t="shared" si="12"/>
        <v>5.3940599999999993E-7</v>
      </c>
      <c r="F227" s="1">
        <f t="shared" si="15"/>
        <v>21.600000000000037</v>
      </c>
      <c r="G227" s="2">
        <f t="shared" si="13"/>
        <v>9.4278339110553534E-9</v>
      </c>
      <c r="H227" s="1">
        <f t="shared" si="14"/>
        <v>9.4154377308830984E-9</v>
      </c>
    </row>
    <row r="228" spans="1:8">
      <c r="A228" s="1">
        <v>218</v>
      </c>
      <c r="B228" s="1">
        <v>19.224</v>
      </c>
      <c r="C228" s="2">
        <v>1.2209E-8</v>
      </c>
      <c r="D228" s="1">
        <f t="shared" si="12"/>
        <v>5.3940599999999993E-7</v>
      </c>
      <c r="F228" s="1">
        <f t="shared" si="15"/>
        <v>21.700000000000038</v>
      </c>
      <c r="G228" s="2">
        <f t="shared" si="13"/>
        <v>9.335817019864646E-9</v>
      </c>
      <c r="H228" s="1">
        <f t="shared" si="14"/>
        <v>9.3236683170295575E-9</v>
      </c>
    </row>
    <row r="229" spans="1:8">
      <c r="A229" s="1">
        <v>219</v>
      </c>
      <c r="B229" s="1">
        <v>19.716999999999999</v>
      </c>
      <c r="C229" s="2">
        <v>1.1563000000000001E-8</v>
      </c>
      <c r="D229" s="1">
        <f t="shared" si="12"/>
        <v>5.3940599999999993E-7</v>
      </c>
      <c r="F229" s="1">
        <f t="shared" si="15"/>
        <v>21.80000000000004</v>
      </c>
      <c r="G229" s="2">
        <f t="shared" si="13"/>
        <v>9.2451662040091454E-9</v>
      </c>
      <c r="H229" s="1">
        <f t="shared" si="14"/>
        <v>9.2332587392730437E-9</v>
      </c>
    </row>
    <row r="230" spans="1:8">
      <c r="A230" s="1">
        <v>220</v>
      </c>
      <c r="B230" s="1">
        <v>19.765999999999998</v>
      </c>
      <c r="C230" s="2">
        <v>1.15E-8</v>
      </c>
      <c r="D230" s="1">
        <f t="shared" si="12"/>
        <v>5.3940599999999993E-7</v>
      </c>
      <c r="F230" s="1">
        <f t="shared" si="15"/>
        <v>21.900000000000041</v>
      </c>
      <c r="G230" s="2">
        <f t="shared" si="13"/>
        <v>9.1558540777996693E-9</v>
      </c>
      <c r="H230" s="1">
        <f t="shared" si="14"/>
        <v>9.1441818023757396E-9</v>
      </c>
    </row>
    <row r="231" spans="1:8">
      <c r="A231" s="1">
        <v>221</v>
      </c>
      <c r="B231" s="1">
        <v>19.812000000000001</v>
      </c>
      <c r="C231" s="2">
        <v>1.1444E-8</v>
      </c>
      <c r="D231" s="1">
        <f t="shared" si="12"/>
        <v>5.3940599999999993E-7</v>
      </c>
      <c r="F231" s="1">
        <f t="shared" si="15"/>
        <v>22.000000000000043</v>
      </c>
      <c r="G231" s="2">
        <f t="shared" si="13"/>
        <v>9.0678539494989911E-9</v>
      </c>
      <c r="H231" s="1">
        <f t="shared" si="14"/>
        <v>9.0564109982178117E-9</v>
      </c>
    </row>
    <row r="232" spans="1:8">
      <c r="A232" s="1">
        <v>222</v>
      </c>
      <c r="B232" s="1">
        <v>19.853999999999999</v>
      </c>
      <c r="C232" s="2">
        <v>1.1392E-8</v>
      </c>
      <c r="D232" s="1">
        <f t="shared" si="12"/>
        <v>5.3940599999999993E-7</v>
      </c>
      <c r="F232" s="1">
        <f t="shared" si="15"/>
        <v>22.100000000000044</v>
      </c>
      <c r="G232" s="2">
        <f t="shared" si="13"/>
        <v>8.9811398000180038E-9</v>
      </c>
      <c r="H232" s="1">
        <f t="shared" si="14"/>
        <v>8.9699204847755817E-9</v>
      </c>
    </row>
    <row r="233" spans="1:8">
      <c r="A233" s="1">
        <v>223</v>
      </c>
      <c r="B233" s="1">
        <v>19.893000000000001</v>
      </c>
      <c r="C233" s="2">
        <v>1.1342999999999999E-8</v>
      </c>
      <c r="D233" s="1">
        <f t="shared" si="12"/>
        <v>5.3940599999999993E-7</v>
      </c>
      <c r="F233" s="1">
        <f t="shared" si="15"/>
        <v>22.200000000000045</v>
      </c>
      <c r="G233" s="2">
        <f t="shared" si="13"/>
        <v>8.8956862623809821E-9</v>
      </c>
      <c r="H233" s="1">
        <f t="shared" si="14"/>
        <v>8.8846850658556423E-9</v>
      </c>
    </row>
    <row r="234" spans="1:8">
      <c r="A234" s="1">
        <v>224</v>
      </c>
      <c r="B234" s="1">
        <v>19.931000000000001</v>
      </c>
      <c r="C234" s="2">
        <v>1.1298E-8</v>
      </c>
      <c r="D234" s="1">
        <f t="shared" si="12"/>
        <v>5.3940599999999993E-7</v>
      </c>
      <c r="F234" s="1">
        <f t="shared" si="15"/>
        <v>22.300000000000047</v>
      </c>
      <c r="G234" s="2">
        <f t="shared" si="13"/>
        <v>8.8114686019279603E-9</v>
      </c>
      <c r="H234" s="1">
        <f t="shared" si="14"/>
        <v>8.800680171553604E-9</v>
      </c>
    </row>
    <row r="235" spans="1:8">
      <c r="A235" s="1">
        <v>225</v>
      </c>
      <c r="B235" s="1">
        <v>19.966000000000001</v>
      </c>
      <c r="C235" s="2">
        <v>1.1255000000000001E-8</v>
      </c>
      <c r="D235" s="1">
        <f t="shared" si="12"/>
        <v>5.3940599999999993E-7</v>
      </c>
      <c r="F235" s="1">
        <f t="shared" si="15"/>
        <v>22.400000000000048</v>
      </c>
      <c r="G235" s="2">
        <f t="shared" si="13"/>
        <v>8.728462697223799E-9</v>
      </c>
      <c r="H235" s="1">
        <f t="shared" si="14"/>
        <v>8.7178818394077391E-9</v>
      </c>
    </row>
    <row r="236" spans="1:8">
      <c r="A236" s="1">
        <v>226</v>
      </c>
      <c r="B236" s="1">
        <v>20</v>
      </c>
      <c r="C236" s="2">
        <v>1.1214E-8</v>
      </c>
      <c r="D236" s="1">
        <f t="shared" si="12"/>
        <v>5.3940599999999993E-7</v>
      </c>
      <c r="F236" s="1">
        <f t="shared" si="15"/>
        <v>22.50000000000005</v>
      </c>
      <c r="G236" s="2">
        <f t="shared" si="13"/>
        <v>8.6466450216449796E-9</v>
      </c>
      <c r="H236" s="1">
        <f t="shared" si="14"/>
        <v>8.6362666962190842E-9</v>
      </c>
    </row>
  </sheetData>
  <phoneticPr fontId="3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00e6f-5812-4f18-b268-10f38420938d">
      <Terms xmlns="http://schemas.microsoft.com/office/infopath/2007/PartnerControls"/>
    </lcf76f155ced4ddcb4097134ff3c332f>
    <TaxCatchAll xmlns="6954bfcc-0dc7-4b10-bc1c-556921ae68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8C052C3EB74C944A53148CA3E0B259D" ma:contentTypeVersion="11" ma:contentTypeDescription="新しいドキュメントを作成します。" ma:contentTypeScope="" ma:versionID="9a0439b4e8c1d1bc05af7c2bd0a4377d">
  <xsd:schema xmlns:xsd="http://www.w3.org/2001/XMLSchema" xmlns:xs="http://www.w3.org/2001/XMLSchema" xmlns:p="http://schemas.microsoft.com/office/2006/metadata/properties" xmlns:ns2="7b400e6f-5812-4f18-b268-10f38420938d" xmlns:ns3="6954bfcc-0dc7-4b10-bc1c-556921ae682a" targetNamespace="http://schemas.microsoft.com/office/2006/metadata/properties" ma:root="true" ma:fieldsID="9a0eed0a464616beff7d22e52893bf84" ns2:_="" ns3:_="">
    <xsd:import namespace="7b400e6f-5812-4f18-b268-10f38420938d"/>
    <xsd:import namespace="6954bfcc-0dc7-4b10-bc1c-556921ae68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00e6f-5812-4f18-b268-10f3842093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cd5df36b-e8c1-4e84-b527-29c76e82f9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4bfcc-0dc7-4b10-bc1c-556921ae682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0ebdb83-e100-4095-944f-f909d8d41cc7}" ma:internalName="TaxCatchAll" ma:showField="CatchAllData" ma:web="6954bfcc-0dc7-4b10-bc1c-556921ae68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3291A-2277-45B7-878C-784D924346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6ACA40-89A7-4E26-A72B-97016E939AD0}">
  <ds:schemaRefs>
    <ds:schemaRef ds:uri="http://schemas.microsoft.com/office/2006/metadata/properties"/>
    <ds:schemaRef ds:uri="http://schemas.microsoft.com/office/infopath/2007/PartnerControls"/>
    <ds:schemaRef ds:uri="7b400e6f-5812-4f18-b268-10f38420938d"/>
    <ds:schemaRef ds:uri="6954bfcc-0dc7-4b10-bc1c-556921ae682a"/>
  </ds:schemaRefs>
</ds:datastoreItem>
</file>

<file path=customXml/itemProps3.xml><?xml version="1.0" encoding="utf-8"?>
<ds:datastoreItem xmlns:ds="http://schemas.openxmlformats.org/officeDocument/2006/customXml" ds:itemID="{9F6D81AA-1DD7-4560-BAB3-A5F0AB45DA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400e6f-5812-4f18-b268-10f38420938d"/>
    <ds:schemaRef ds:uri="6954bfcc-0dc7-4b10-bc1c-556921ae68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応答ｸﾞﾗﾌ-3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 tenRYu</dc:creator>
  <cp:keywords/>
  <dc:description/>
  <cp:lastModifiedBy>篠原　主勲</cp:lastModifiedBy>
  <cp:revision/>
  <dcterms:created xsi:type="dcterms:W3CDTF">2015-06-05T18:19:34Z</dcterms:created>
  <dcterms:modified xsi:type="dcterms:W3CDTF">2026-09-20T03:30:09Z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0x01010018C052C3EB74C944A53148CA3E0B259D</vt:lpwstr>
  </property>
  <property fmtid="{D5CDD505-2E9C-101B-9397-08002B2CF9AE}" pid="3" name="MediaServiceImageTags">
    <vt:lpwstr/>
  </property>
</Properties>
</file>