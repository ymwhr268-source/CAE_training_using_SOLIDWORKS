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ECTION3\"/>
    </mc:Choice>
  </mc:AlternateContent>
  <xr:revisionPtr revIDLastSave="0" documentId="13_ncr:1_{C3D37DFE-A7F6-4928-9A87-A08D4377102F}" xr6:coauthVersionLast="36" xr6:coauthVersionMax="36" xr10:uidLastSave="{00000000-0000-0000-0000-000000000000}"/>
  <bookViews>
    <workbookView xWindow="0" yWindow="0" windowWidth="28800" windowHeight="12135" xr2:uid="{4E7420B5-5D82-45CA-8D93-7917BF594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H4" i="1"/>
  <c r="C3" i="1"/>
  <c r="D3" i="1"/>
  <c r="H5" i="1"/>
  <c r="H6" i="1"/>
  <c r="G5" i="1"/>
  <c r="G6" i="1"/>
  <c r="G4" i="1"/>
  <c r="B4" i="1"/>
  <c r="B5" i="1"/>
  <c r="B6" i="1"/>
  <c r="C4" i="1"/>
  <c r="C5" i="1"/>
  <c r="C6" i="1"/>
  <c r="D4" i="1"/>
  <c r="D5" i="1"/>
  <c r="D6" i="1"/>
</calcChain>
</file>

<file path=xl/sharedStrings.xml><?xml version="1.0" encoding="utf-8"?>
<sst xmlns="http://schemas.openxmlformats.org/spreadsheetml/2006/main" count="12" uniqueCount="10">
  <si>
    <t>入力値</t>
    <rPh sb="0" eb="2">
      <t>ニュウリョク</t>
    </rPh>
    <rPh sb="2" eb="3">
      <t>チ</t>
    </rPh>
    <phoneticPr fontId="1"/>
  </si>
  <si>
    <t>理論値</t>
    <rPh sb="0" eb="3">
      <t>リロンチ</t>
    </rPh>
    <phoneticPr fontId="1"/>
  </si>
  <si>
    <t>Solidworks 解析値</t>
    <rPh sb="11" eb="13">
      <t>カイセキ</t>
    </rPh>
    <rPh sb="13" eb="14">
      <t>チ</t>
    </rPh>
    <phoneticPr fontId="1"/>
  </si>
  <si>
    <t>誤差</t>
    <rPh sb="0" eb="2">
      <t>ゴサ</t>
    </rPh>
    <phoneticPr fontId="1"/>
  </si>
  <si>
    <t>ひずみ</t>
    <phoneticPr fontId="1"/>
  </si>
  <si>
    <t>応力(%)</t>
    <rPh sb="0" eb="2">
      <t>オウリョク</t>
    </rPh>
    <phoneticPr fontId="1"/>
  </si>
  <si>
    <t>ひずみ(%)</t>
    <phoneticPr fontId="1"/>
  </si>
  <si>
    <t>応力[Pa}</t>
    <rPh sb="0" eb="2">
      <t>オウリョク</t>
    </rPh>
    <phoneticPr fontId="1"/>
  </si>
  <si>
    <t>変位[m]</t>
    <rPh sb="0" eb="2">
      <t>ヘンイ</t>
    </rPh>
    <phoneticPr fontId="1"/>
  </si>
  <si>
    <t>力[N]</t>
    <rPh sb="0" eb="1">
      <t>チカラ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</si>
</sst>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応力</a:t>
            </a:r>
            <a:r>
              <a:rPr lang="en-US" altLang="ja-JP"/>
              <a:t>-</a:t>
            </a:r>
            <a:r>
              <a:rPr lang="ja-JP" altLang="en-US"/>
              <a:t>ひずみ線図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Sheet1!$B$3:$B$6</c:f>
              <c:numCache>
                <c:formatCode>0.00E+00</c:formatCode>
                <c:ptCount val="4"/>
                <c:pt idx="0">
                  <c:v>0</c:v>
                </c:pt>
                <c:pt idx="1">
                  <c:v>1.8198362147406736E-3</c:v>
                </c:pt>
                <c:pt idx="2">
                  <c:v>3.6396724294813472E-3</c:v>
                </c:pt>
                <c:pt idx="3">
                  <c:v>5.4595086442220204E-3</c:v>
                </c:pt>
              </c:numCache>
            </c:numRef>
          </c:xVal>
          <c:yVal>
            <c:numRef>
              <c:f>Sheet1!$C$3:$C$6</c:f>
              <c:numCache>
                <c:formatCode>0.00E+00</c:formatCode>
                <c:ptCount val="4"/>
                <c:pt idx="0">
                  <c:v>0</c:v>
                </c:pt>
                <c:pt idx="1">
                  <c:v>127388535.03184715</c:v>
                </c:pt>
                <c:pt idx="2">
                  <c:v>254777070.0636943</c:v>
                </c:pt>
                <c:pt idx="3">
                  <c:v>382165605.09554142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0-4DF1-B14A-8437CA30532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Sheet1!$D$3:$D$6</c:f>
              <c:numCache>
                <c:formatCode>General</c:formatCode>
                <c:ptCount val="4"/>
                <c:pt idx="0">
                  <c:v>0</c:v>
                </c:pt>
                <c:pt idx="1">
                  <c:v>1.7899999999999997E-3</c:v>
                </c:pt>
                <c:pt idx="2">
                  <c:v>3.5794999999999998E-3</c:v>
                </c:pt>
                <c:pt idx="3">
                  <c:v>5.3699999999999998E-3</c:v>
                </c:pt>
              </c:numCache>
            </c:numRef>
          </c:xVal>
          <c:yVal>
            <c:numRef>
              <c:f>Sheet1!$E$3:$E$6</c:f>
              <c:numCache>
                <c:formatCode>0.00E+00</c:formatCode>
                <c:ptCount val="4"/>
                <c:pt idx="0" formatCode="General">
                  <c:v>0</c:v>
                </c:pt>
                <c:pt idx="1">
                  <c:v>127300000</c:v>
                </c:pt>
                <c:pt idx="2">
                  <c:v>254700000</c:v>
                </c:pt>
                <c:pt idx="3">
                  <c:v>381900000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F0-4DF1-B14A-8437CA305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242288"/>
        <c:axId val="322490080"/>
      </c:scatterChart>
      <c:valAx>
        <c:axId val="62224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490080"/>
        <c:crosses val="autoZero"/>
        <c:crossBetween val="midCat"/>
      </c:valAx>
      <c:valAx>
        <c:axId val="3224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224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519112</xdr:colOff>
      <xdr:row>3</xdr:row>
      <xdr:rowOff>100012</xdr:rowOff>
    </xdr:from>
    <xdr:to>
      <xdr:col>17</xdr:col>
      <xdr:colOff>290512</xdr:colOff>
      <xdr:row>14</xdr:row>
      <xdr:rowOff>223837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7829D63-21D8-4F71-ABB4-E89C6C7AF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8CBA-706E-4E35-8040-574D6AF5B4A8}">
  <dimension ref="A1:H6"/>
  <sheetViews>
    <sheetView tabSelected="1" workbookViewId="0">
      <selection activeCell="G4" sqref="G4"/>
    </sheetView>
  </sheetViews>
  <sheetFormatPr defaultRowHeight="18.75" x14ac:dyDescent="0.4"/>
  <cols>
    <col min="1" max="3" width="9.5" bestFit="1" customWidth="1"/>
    <col min="7" max="8" width="9.5" bestFit="1" customWidth="1"/>
  </cols>
  <sheetData>
    <row r="1" spans="1:8" x14ac:dyDescent="0.4">
      <c r="A1" t="s">
        <v>0</v>
      </c>
      <c r="B1" t="s">
        <v>1</v>
      </c>
      <c r="D1" t="s">
        <v>2</v>
      </c>
      <c r="G1" t="s">
        <v>3</v>
      </c>
    </row>
    <row r="2" spans="1:8" x14ac:dyDescent="0.4">
      <c r="A2" t="s">
        <v>9</v>
      </c>
      <c r="B2" t="s">
        <v>4</v>
      </c>
      <c r="C2" t="s">
        <v>7</v>
      </c>
      <c r="D2" t="s">
        <v>4</v>
      </c>
      <c r="E2" t="s">
        <v>7</v>
      </c>
      <c r="F2" t="s">
        <v>8</v>
      </c>
      <c r="G2" t="s">
        <v>6</v>
      </c>
      <c r="H2" t="s">
        <v>5</v>
      </c>
    </row>
    <row r="3" spans="1:8" x14ac:dyDescent="0.4">
      <c r="A3" s="1">
        <v>0</v>
      </c>
      <c r="B3" s="1">
        <f>C3/70000000000</f>
        <v>0</v>
      </c>
      <c r="C3" s="1">
        <f>A3/0.00785</f>
        <v>0</v>
      </c>
      <c r="D3">
        <f>F3/0.2</f>
        <v>0</v>
      </c>
      <c r="E3">
        <v>0</v>
      </c>
      <c r="F3">
        <v>0</v>
      </c>
    </row>
    <row r="4" spans="1:8" x14ac:dyDescent="0.4">
      <c r="A4" s="1">
        <v>1000000</v>
      </c>
      <c r="B4" s="1">
        <f t="shared" ref="B4:B6" si="0">C4/70000000000</f>
        <v>1.8198362147406736E-3</v>
      </c>
      <c r="C4" s="1">
        <f t="shared" ref="C4:C6" si="1">A4/0.00785</f>
        <v>127388535.03184715</v>
      </c>
      <c r="D4">
        <f t="shared" ref="D4:D6" si="2">F4/0.2</f>
        <v>1.7899999999999997E-3</v>
      </c>
      <c r="E4" s="1">
        <v>127300000</v>
      </c>
      <c r="F4" s="1">
        <v>3.5799999999999997E-4</v>
      </c>
      <c r="G4" s="1">
        <f>(B4-D4)/B4*100</f>
        <v>1.6395000000000313</v>
      </c>
      <c r="H4" s="1">
        <f>(C4-E4)/C4*100</f>
        <v>6.9500000000012066E-2</v>
      </c>
    </row>
    <row r="5" spans="1:8" x14ac:dyDescent="0.4">
      <c r="A5" s="1">
        <v>2000000</v>
      </c>
      <c r="B5" s="1">
        <f t="shared" si="0"/>
        <v>3.6396724294813472E-3</v>
      </c>
      <c r="C5" s="1">
        <f t="shared" si="1"/>
        <v>254777070.0636943</v>
      </c>
      <c r="D5">
        <f t="shared" si="2"/>
        <v>3.5794999999999998E-3</v>
      </c>
      <c r="E5" s="1">
        <v>254700000</v>
      </c>
      <c r="F5" s="1">
        <v>7.159E-4</v>
      </c>
      <c r="G5" s="1">
        <f t="shared" ref="G5:G6" si="3">(B5-D5)/B5*100</f>
        <v>1.653237500000021</v>
      </c>
      <c r="H5" s="1">
        <f t="shared" ref="H5:H6" si="4">(C5-E5)/C5*100</f>
        <v>3.0250000000012066E-2</v>
      </c>
    </row>
    <row r="6" spans="1:8" x14ac:dyDescent="0.4">
      <c r="A6" s="1">
        <v>3000000</v>
      </c>
      <c r="B6" s="1">
        <f t="shared" si="0"/>
        <v>5.4595086442220204E-3</v>
      </c>
      <c r="C6" s="1">
        <f t="shared" si="1"/>
        <v>382165605.09554142</v>
      </c>
      <c r="D6">
        <f t="shared" si="2"/>
        <v>5.3699999999999998E-3</v>
      </c>
      <c r="E6" s="1">
        <v>381900000</v>
      </c>
      <c r="F6" s="1">
        <v>1.0740000000000001E-3</v>
      </c>
      <c r="G6" s="1">
        <f t="shared" si="3"/>
        <v>1.6395000000000115</v>
      </c>
      <c r="H6" s="1">
        <f t="shared" si="4"/>
        <v>6.9500000000004267E-2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大同大学</dc:creator>
  <cp:lastModifiedBy>篠原　主勲</cp:lastModifiedBy>
  <dcterms:created xsi:type="dcterms:W3CDTF">2023-04-12T02:39:01Z</dcterms:created>
  <dcterms:modified xsi:type="dcterms:W3CDTF">2026-09-19T06:44:02Z</dcterms:modified>
</cp:coreProperties>
</file>